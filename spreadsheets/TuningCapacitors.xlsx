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vania_wisc_edu/Documents/ECE 455/"/>
    </mc:Choice>
  </mc:AlternateContent>
  <xr:revisionPtr revIDLastSave="0" documentId="8_{D46E6807-9206-48B2-952B-0C92FC975CF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C Tuning - 100 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C58" i="1" s="1"/>
  <c r="D58" i="1" s="1"/>
  <c r="E58" i="1" s="1"/>
  <c r="B11" i="1"/>
  <c r="B99" i="1" s="1"/>
  <c r="C99" i="1" s="1"/>
  <c r="D99" i="1" s="1"/>
  <c r="E99" i="1" s="1"/>
  <c r="B7" i="1"/>
  <c r="J12" i="1" s="1"/>
  <c r="L12" i="1" s="1"/>
  <c r="B26" i="1" l="1"/>
  <c r="C26" i="1" s="1"/>
  <c r="D26" i="1" s="1"/>
  <c r="E26" i="1" s="1"/>
  <c r="B67" i="1"/>
  <c r="C67" i="1" s="1"/>
  <c r="D67" i="1" s="1"/>
  <c r="E67" i="1" s="1"/>
  <c r="B15" i="1"/>
  <c r="C15" i="1" s="1"/>
  <c r="D15" i="1" s="1"/>
  <c r="E15" i="1" s="1"/>
  <c r="B38" i="1"/>
  <c r="C38" i="1" s="1"/>
  <c r="D38" i="1" s="1"/>
  <c r="E38" i="1" s="1"/>
  <c r="B70" i="1"/>
  <c r="C70" i="1" s="1"/>
  <c r="D70" i="1" s="1"/>
  <c r="E70" i="1" s="1"/>
  <c r="B103" i="1"/>
  <c r="C103" i="1" s="1"/>
  <c r="D103" i="1" s="1"/>
  <c r="E103" i="1" s="1"/>
  <c r="B94" i="1"/>
  <c r="C94" i="1" s="1"/>
  <c r="D94" i="1" s="1"/>
  <c r="E94" i="1" s="1"/>
  <c r="B30" i="1"/>
  <c r="C30" i="1" s="1"/>
  <c r="D30" i="1" s="1"/>
  <c r="E30" i="1" s="1"/>
  <c r="B62" i="1"/>
  <c r="C62" i="1" s="1"/>
  <c r="D62" i="1" s="1"/>
  <c r="E62" i="1" s="1"/>
  <c r="B47" i="1"/>
  <c r="C47" i="1" s="1"/>
  <c r="D47" i="1" s="1"/>
  <c r="E47" i="1" s="1"/>
  <c r="B18" i="1"/>
  <c r="C18" i="1" s="1"/>
  <c r="D18" i="1" s="1"/>
  <c r="E18" i="1" s="1"/>
  <c r="B50" i="1"/>
  <c r="C50" i="1" s="1"/>
  <c r="D50" i="1" s="1"/>
  <c r="E50" i="1" s="1"/>
  <c r="B82" i="1"/>
  <c r="C82" i="1" s="1"/>
  <c r="D82" i="1" s="1"/>
  <c r="E82" i="1" s="1"/>
  <c r="B39" i="1"/>
  <c r="C39" i="1" s="1"/>
  <c r="D39" i="1" s="1"/>
  <c r="E39" i="1" s="1"/>
  <c r="B71" i="1"/>
  <c r="C71" i="1" s="1"/>
  <c r="D71" i="1" s="1"/>
  <c r="E71" i="1" s="1"/>
  <c r="B19" i="1"/>
  <c r="C19" i="1" s="1"/>
  <c r="D19" i="1" s="1"/>
  <c r="E19" i="1" s="1"/>
  <c r="B42" i="1"/>
  <c r="C42" i="1" s="1"/>
  <c r="D42" i="1" s="1"/>
  <c r="E42" i="1" s="1"/>
  <c r="B83" i="1"/>
  <c r="C83" i="1" s="1"/>
  <c r="D83" i="1" s="1"/>
  <c r="E83" i="1" s="1"/>
  <c r="B107" i="1"/>
  <c r="C107" i="1" s="1"/>
  <c r="D107" i="1" s="1"/>
  <c r="E107" i="1" s="1"/>
  <c r="B110" i="1"/>
  <c r="C110" i="1" s="1"/>
  <c r="D110" i="1" s="1"/>
  <c r="E110" i="1" s="1"/>
  <c r="B31" i="1"/>
  <c r="C31" i="1" s="1"/>
  <c r="D31" i="1" s="1"/>
  <c r="E31" i="1" s="1"/>
  <c r="B54" i="1"/>
  <c r="C54" i="1" s="1"/>
  <c r="D54" i="1" s="1"/>
  <c r="E54" i="1" s="1"/>
  <c r="B86" i="1"/>
  <c r="C86" i="1" s="1"/>
  <c r="D86" i="1" s="1"/>
  <c r="E86" i="1" s="1"/>
  <c r="B35" i="1"/>
  <c r="C35" i="1" s="1"/>
  <c r="D35" i="1" s="1"/>
  <c r="E35" i="1" s="1"/>
  <c r="B79" i="1"/>
  <c r="C79" i="1" s="1"/>
  <c r="D79" i="1" s="1"/>
  <c r="E79" i="1" s="1"/>
  <c r="B91" i="1"/>
  <c r="C91" i="1" s="1"/>
  <c r="D91" i="1" s="1"/>
  <c r="E91" i="1" s="1"/>
  <c r="B27" i="1"/>
  <c r="C27" i="1" s="1"/>
  <c r="D27" i="1" s="1"/>
  <c r="E27" i="1" s="1"/>
  <c r="B59" i="1"/>
  <c r="C59" i="1" s="1"/>
  <c r="D59" i="1" s="1"/>
  <c r="E59" i="1" s="1"/>
  <c r="B106" i="1"/>
  <c r="C106" i="1" s="1"/>
  <c r="D106" i="1" s="1"/>
  <c r="E106" i="1" s="1"/>
  <c r="B51" i="1"/>
  <c r="C51" i="1" s="1"/>
  <c r="D51" i="1" s="1"/>
  <c r="E51" i="1" s="1"/>
  <c r="B74" i="1"/>
  <c r="C74" i="1" s="1"/>
  <c r="D74" i="1" s="1"/>
  <c r="E74" i="1" s="1"/>
  <c r="B95" i="1"/>
  <c r="C95" i="1" s="1"/>
  <c r="D95" i="1" s="1"/>
  <c r="E95" i="1" s="1"/>
  <c r="B22" i="1"/>
  <c r="C22" i="1" s="1"/>
  <c r="D22" i="1" s="1"/>
  <c r="E22" i="1" s="1"/>
  <c r="B63" i="1"/>
  <c r="C63" i="1" s="1"/>
  <c r="D63" i="1" s="1"/>
  <c r="E63" i="1" s="1"/>
  <c r="B98" i="1"/>
  <c r="C98" i="1" s="1"/>
  <c r="D98" i="1" s="1"/>
  <c r="E98" i="1" s="1"/>
  <c r="B34" i="1"/>
  <c r="C34" i="1" s="1"/>
  <c r="D34" i="1" s="1"/>
  <c r="E34" i="1" s="1"/>
  <c r="B43" i="1"/>
  <c r="C43" i="1" s="1"/>
  <c r="D43" i="1" s="1"/>
  <c r="E43" i="1" s="1"/>
  <c r="B66" i="1"/>
  <c r="C66" i="1" s="1"/>
  <c r="D66" i="1" s="1"/>
  <c r="E66" i="1" s="1"/>
  <c r="B75" i="1"/>
  <c r="C75" i="1" s="1"/>
  <c r="D75" i="1" s="1"/>
  <c r="E75" i="1" s="1"/>
  <c r="B111" i="1"/>
  <c r="C111" i="1" s="1"/>
  <c r="D111" i="1" s="1"/>
  <c r="E111" i="1" s="1"/>
  <c r="B23" i="1"/>
  <c r="C23" i="1" s="1"/>
  <c r="D23" i="1" s="1"/>
  <c r="E23" i="1" s="1"/>
  <c r="B46" i="1"/>
  <c r="C46" i="1" s="1"/>
  <c r="D46" i="1" s="1"/>
  <c r="E46" i="1" s="1"/>
  <c r="B55" i="1"/>
  <c r="C55" i="1" s="1"/>
  <c r="D55" i="1" s="1"/>
  <c r="E55" i="1" s="1"/>
  <c r="B78" i="1"/>
  <c r="C78" i="1" s="1"/>
  <c r="D78" i="1" s="1"/>
  <c r="E78" i="1" s="1"/>
  <c r="B87" i="1"/>
  <c r="C87" i="1" s="1"/>
  <c r="D87" i="1" s="1"/>
  <c r="E87" i="1" s="1"/>
  <c r="B114" i="1"/>
  <c r="C114" i="1" s="1"/>
  <c r="D114" i="1" s="1"/>
  <c r="E114" i="1" s="1"/>
  <c r="B109" i="1"/>
  <c r="C109" i="1" s="1"/>
  <c r="D109" i="1" s="1"/>
  <c r="E109" i="1" s="1"/>
  <c r="B93" i="1"/>
  <c r="C93" i="1" s="1"/>
  <c r="D93" i="1" s="1"/>
  <c r="E93" i="1" s="1"/>
  <c r="B81" i="1"/>
  <c r="C81" i="1" s="1"/>
  <c r="D81" i="1" s="1"/>
  <c r="E81" i="1" s="1"/>
  <c r="B69" i="1"/>
  <c r="C69" i="1" s="1"/>
  <c r="D69" i="1" s="1"/>
  <c r="E69" i="1" s="1"/>
  <c r="B57" i="1"/>
  <c r="C57" i="1" s="1"/>
  <c r="D57" i="1" s="1"/>
  <c r="E57" i="1" s="1"/>
  <c r="B45" i="1"/>
  <c r="C45" i="1" s="1"/>
  <c r="D45" i="1" s="1"/>
  <c r="E45" i="1" s="1"/>
  <c r="B33" i="1"/>
  <c r="C33" i="1" s="1"/>
  <c r="D33" i="1" s="1"/>
  <c r="E33" i="1" s="1"/>
  <c r="B21" i="1"/>
  <c r="C21" i="1" s="1"/>
  <c r="D21" i="1" s="1"/>
  <c r="E21" i="1" s="1"/>
  <c r="B108" i="1"/>
  <c r="C108" i="1" s="1"/>
  <c r="D108" i="1" s="1"/>
  <c r="E108" i="1" s="1"/>
  <c r="B92" i="1"/>
  <c r="C92" i="1" s="1"/>
  <c r="D92" i="1" s="1"/>
  <c r="E92" i="1" s="1"/>
  <c r="B84" i="1"/>
  <c r="C84" i="1" s="1"/>
  <c r="D84" i="1" s="1"/>
  <c r="E84" i="1" s="1"/>
  <c r="B72" i="1"/>
  <c r="C72" i="1" s="1"/>
  <c r="D72" i="1" s="1"/>
  <c r="E72" i="1" s="1"/>
  <c r="B56" i="1"/>
  <c r="C56" i="1" s="1"/>
  <c r="D56" i="1" s="1"/>
  <c r="E56" i="1" s="1"/>
  <c r="B48" i="1"/>
  <c r="C48" i="1" s="1"/>
  <c r="D48" i="1" s="1"/>
  <c r="E48" i="1" s="1"/>
  <c r="B36" i="1"/>
  <c r="C36" i="1" s="1"/>
  <c r="D36" i="1" s="1"/>
  <c r="E36" i="1" s="1"/>
  <c r="B28" i="1"/>
  <c r="C28" i="1" s="1"/>
  <c r="D28" i="1" s="1"/>
  <c r="E28" i="1" s="1"/>
  <c r="B20" i="1"/>
  <c r="C20" i="1" s="1"/>
  <c r="D20" i="1" s="1"/>
  <c r="E20" i="1" s="1"/>
  <c r="B113" i="1"/>
  <c r="C113" i="1" s="1"/>
  <c r="D113" i="1" s="1"/>
  <c r="E113" i="1" s="1"/>
  <c r="B101" i="1"/>
  <c r="C101" i="1" s="1"/>
  <c r="D101" i="1" s="1"/>
  <c r="E101" i="1" s="1"/>
  <c r="B85" i="1"/>
  <c r="C85" i="1" s="1"/>
  <c r="D85" i="1" s="1"/>
  <c r="E85" i="1" s="1"/>
  <c r="B73" i="1"/>
  <c r="C73" i="1" s="1"/>
  <c r="D73" i="1" s="1"/>
  <c r="E73" i="1" s="1"/>
  <c r="B61" i="1"/>
  <c r="C61" i="1" s="1"/>
  <c r="D61" i="1" s="1"/>
  <c r="E61" i="1" s="1"/>
  <c r="B53" i="1"/>
  <c r="C53" i="1" s="1"/>
  <c r="D53" i="1" s="1"/>
  <c r="E53" i="1" s="1"/>
  <c r="B41" i="1"/>
  <c r="C41" i="1" s="1"/>
  <c r="D41" i="1" s="1"/>
  <c r="E41" i="1" s="1"/>
  <c r="B29" i="1"/>
  <c r="C29" i="1" s="1"/>
  <c r="D29" i="1" s="1"/>
  <c r="E29" i="1" s="1"/>
  <c r="B112" i="1"/>
  <c r="C112" i="1" s="1"/>
  <c r="D112" i="1" s="1"/>
  <c r="E112" i="1" s="1"/>
  <c r="B100" i="1"/>
  <c r="C100" i="1" s="1"/>
  <c r="D100" i="1" s="1"/>
  <c r="E100" i="1" s="1"/>
  <c r="B76" i="1"/>
  <c r="C76" i="1" s="1"/>
  <c r="D76" i="1" s="1"/>
  <c r="E76" i="1" s="1"/>
  <c r="B64" i="1"/>
  <c r="C64" i="1" s="1"/>
  <c r="D64" i="1" s="1"/>
  <c r="E64" i="1" s="1"/>
  <c r="B52" i="1"/>
  <c r="C52" i="1" s="1"/>
  <c r="D52" i="1" s="1"/>
  <c r="E52" i="1" s="1"/>
  <c r="B40" i="1"/>
  <c r="C40" i="1" s="1"/>
  <c r="D40" i="1" s="1"/>
  <c r="E40" i="1" s="1"/>
  <c r="B24" i="1"/>
  <c r="C24" i="1" s="1"/>
  <c r="D24" i="1" s="1"/>
  <c r="E24" i="1" s="1"/>
  <c r="B105" i="1"/>
  <c r="C105" i="1" s="1"/>
  <c r="D105" i="1" s="1"/>
  <c r="E105" i="1" s="1"/>
  <c r="B97" i="1"/>
  <c r="C97" i="1" s="1"/>
  <c r="D97" i="1" s="1"/>
  <c r="E97" i="1" s="1"/>
  <c r="B89" i="1"/>
  <c r="C89" i="1" s="1"/>
  <c r="D89" i="1" s="1"/>
  <c r="E89" i="1" s="1"/>
  <c r="B77" i="1"/>
  <c r="C77" i="1" s="1"/>
  <c r="D77" i="1" s="1"/>
  <c r="E77" i="1" s="1"/>
  <c r="B65" i="1"/>
  <c r="C65" i="1" s="1"/>
  <c r="D65" i="1" s="1"/>
  <c r="E65" i="1" s="1"/>
  <c r="B49" i="1"/>
  <c r="C49" i="1" s="1"/>
  <c r="D49" i="1" s="1"/>
  <c r="E49" i="1" s="1"/>
  <c r="B37" i="1"/>
  <c r="C37" i="1" s="1"/>
  <c r="D37" i="1" s="1"/>
  <c r="E37" i="1" s="1"/>
  <c r="B25" i="1"/>
  <c r="C25" i="1" s="1"/>
  <c r="D25" i="1" s="1"/>
  <c r="E25" i="1" s="1"/>
  <c r="B17" i="1"/>
  <c r="C17" i="1" s="1"/>
  <c r="D17" i="1" s="1"/>
  <c r="E17" i="1" s="1"/>
  <c r="B104" i="1"/>
  <c r="C104" i="1" s="1"/>
  <c r="D104" i="1" s="1"/>
  <c r="E104" i="1" s="1"/>
  <c r="B96" i="1"/>
  <c r="C96" i="1" s="1"/>
  <c r="D96" i="1" s="1"/>
  <c r="E96" i="1" s="1"/>
  <c r="B88" i="1"/>
  <c r="C88" i="1" s="1"/>
  <c r="D88" i="1" s="1"/>
  <c r="E88" i="1" s="1"/>
  <c r="B80" i="1"/>
  <c r="C80" i="1" s="1"/>
  <c r="D80" i="1" s="1"/>
  <c r="E80" i="1" s="1"/>
  <c r="B68" i="1"/>
  <c r="C68" i="1" s="1"/>
  <c r="D68" i="1" s="1"/>
  <c r="E68" i="1" s="1"/>
  <c r="B60" i="1"/>
  <c r="C60" i="1" s="1"/>
  <c r="D60" i="1" s="1"/>
  <c r="E60" i="1" s="1"/>
  <c r="B44" i="1"/>
  <c r="C44" i="1" s="1"/>
  <c r="D44" i="1" s="1"/>
  <c r="E44" i="1" s="1"/>
  <c r="B32" i="1"/>
  <c r="C32" i="1" s="1"/>
  <c r="D32" i="1" s="1"/>
  <c r="E32" i="1" s="1"/>
  <c r="B16" i="1"/>
  <c r="C16" i="1" s="1"/>
  <c r="D16" i="1" s="1"/>
  <c r="E16" i="1" s="1"/>
  <c r="B90" i="1"/>
  <c r="C90" i="1" s="1"/>
  <c r="D90" i="1" s="1"/>
  <c r="E90" i="1" s="1"/>
  <c r="B102" i="1"/>
  <c r="C102" i="1" s="1"/>
  <c r="D102" i="1" s="1"/>
  <c r="E102" i="1" s="1"/>
</calcChain>
</file>

<file path=xl/sharedStrings.xml><?xml version="1.0" encoding="utf-8"?>
<sst xmlns="http://schemas.openxmlformats.org/spreadsheetml/2006/main" count="23" uniqueCount="22">
  <si>
    <t>Proton Precession Magnetometer | LC Tuning</t>
  </si>
  <si>
    <t>100 equally spaced capacitances | 0–400 nF | two series sensing coils</t>
  </si>
  <si>
    <t>Coil 1 inductance (mH)</t>
  </si>
  <si>
    <t>MODEL NOTES</t>
  </si>
  <si>
    <t>Coil 2 inductance (mH)</t>
  </si>
  <si>
    <t>Ideal LC: f = 1 / (2π√(LC)); B = f / 0.04257747892 (nT).</t>
  </si>
  <si>
    <t>Series inductance (mH)</t>
  </si>
  <si>
    <t>At 0 nF, ideal LC resonance is undefined (frequency and field are blank).</t>
  </si>
  <si>
    <t>Proton ratio (Hz/nT)</t>
  </si>
  <si>
    <t>Series inductance assumes negligible mutual coupling; real coil coupling and stray C shift resonance.</t>
  </si>
  <si>
    <t>Maximum capacitance (nF)</t>
  </si>
  <si>
    <t>Frequency/field are LC tuning equivalents, not direct measurements of Earth's magnetic field.</t>
  </si>
  <si>
    <t>Number of points</t>
  </si>
  <si>
    <t>Step size (nF)</t>
  </si>
  <si>
    <t>Existing 11-capacitor bank reference (not one of the 100 equal steps)</t>
  </si>
  <si>
    <t>Nominal bank total (nF)</t>
  </si>
  <si>
    <t>Frequency (Hz)</t>
  </si>
  <si>
    <t>Field (nT)</t>
  </si>
  <si>
    <t>Point</t>
  </si>
  <si>
    <t>Capacitance (nF)</t>
  </si>
  <si>
    <t>Magnetic field (nT)</t>
  </si>
  <si>
    <t>Magnetic field (µT)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</si>
</sst>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"/>
    <numFmt numFmtId="166" formatCode="0.000000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37566C"/>
      <name val="Carlito"/>
    </font>
    <font>
      <b/>
      <sz val="11"/>
      <color rgb="FF24465C"/>
      <name val="Carlito"/>
    </font>
    <font>
      <sz val="11"/>
      <color rgb="FF754C14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04B"/>
      </patternFill>
    </fill>
    <fill>
      <patternFill patternType="solid">
        <fgColor rgb="FFE7F0F5"/>
      </patternFill>
    </fill>
    <fill>
      <patternFill patternType="solid">
        <fgColor rgb="FFFFF5D9"/>
      </patternFill>
    </fill>
    <fill>
      <patternFill patternType="solid">
        <fgColor rgb="FFDDF3E6"/>
      </patternFill>
    </fill>
    <fill>
      <patternFill patternType="solid">
        <fgColor rgb="FF155E75"/>
      </patternFill>
    </fill>
    <fill>
      <patternFill patternType="solid">
        <fgColor rgb="FFDF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3" borderId="0" xfId="0" applyFont="1" applyFill="1"/>
    <xf numFmtId="0" fontId="0" fillId="4" borderId="0" xfId="0" applyFill="1"/>
    <xf numFmtId="0" fontId="1" fillId="6" borderId="0" xfId="0" applyFont="1" applyFill="1" applyAlignment="1">
      <alignment wrapText="1"/>
    </xf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4" fontId="5" fillId="4" borderId="0" xfId="0" applyNumberFormat="1" applyFont="1" applyFill="1"/>
    <xf numFmtId="164" fontId="5" fillId="5" borderId="0" xfId="0" applyNumberFormat="1" applyFont="1" applyFill="1"/>
    <xf numFmtId="165" fontId="5" fillId="4" borderId="0" xfId="0" applyNumberFormat="1" applyFont="1" applyFill="1"/>
    <xf numFmtId="2" fontId="5" fillId="4" borderId="0" xfId="0" applyNumberFormat="1" applyFont="1" applyFill="1"/>
    <xf numFmtId="1" fontId="5" fillId="4" borderId="0" xfId="0" applyNumberFormat="1" applyFont="1" applyFill="1"/>
    <xf numFmtId="166" fontId="5" fillId="5" borderId="0" xfId="0" applyNumberFormat="1" applyFont="1" applyFill="1"/>
    <xf numFmtId="0" fontId="2" fillId="2" borderId="0" xfId="0" applyFont="1" applyFill="1"/>
    <xf numFmtId="0" fontId="1" fillId="6" borderId="0" xfId="0" applyFont="1" applyFill="1"/>
    <xf numFmtId="0" fontId="0" fillId="0" borderId="0" xfId="0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Frequency (Hz)</c:v>
          </c:tx>
          <c:marker>
            <c:symbol val="none"/>
          </c:marker>
          <c:cat>
            <c:numRef>
              <c:f>'LC Tuning - 100 Points'!$B$16:$B$114</c:f>
              <c:numCache>
                <c:formatCode>0.000</c:formatCode>
                <c:ptCount val="99"/>
                <c:pt idx="0">
                  <c:v>4.0404040404040407</c:v>
                </c:pt>
                <c:pt idx="1">
                  <c:v>8.0808080808080813</c:v>
                </c:pt>
                <c:pt idx="2">
                  <c:v>12.121212121212121</c:v>
                </c:pt>
                <c:pt idx="3">
                  <c:v>16.161616161616163</c:v>
                </c:pt>
                <c:pt idx="4">
                  <c:v>20.202020202020204</c:v>
                </c:pt>
                <c:pt idx="5">
                  <c:v>24.242424242424242</c:v>
                </c:pt>
                <c:pt idx="6">
                  <c:v>28.282828282828284</c:v>
                </c:pt>
                <c:pt idx="7">
                  <c:v>32.323232323232325</c:v>
                </c:pt>
                <c:pt idx="8">
                  <c:v>36.363636363636367</c:v>
                </c:pt>
                <c:pt idx="9">
                  <c:v>40.404040404040408</c:v>
                </c:pt>
                <c:pt idx="10">
                  <c:v>44.44444444444445</c:v>
                </c:pt>
                <c:pt idx="11">
                  <c:v>48.484848484848484</c:v>
                </c:pt>
                <c:pt idx="12">
                  <c:v>52.525252525252526</c:v>
                </c:pt>
                <c:pt idx="13">
                  <c:v>56.565656565656568</c:v>
                </c:pt>
                <c:pt idx="14">
                  <c:v>60.606060606060609</c:v>
                </c:pt>
                <c:pt idx="15">
                  <c:v>64.646464646464651</c:v>
                </c:pt>
                <c:pt idx="16">
                  <c:v>68.686868686868692</c:v>
                </c:pt>
                <c:pt idx="17">
                  <c:v>72.727272727272734</c:v>
                </c:pt>
                <c:pt idx="18">
                  <c:v>76.767676767676775</c:v>
                </c:pt>
                <c:pt idx="19">
                  <c:v>80.808080808080817</c:v>
                </c:pt>
                <c:pt idx="20">
                  <c:v>84.848484848484858</c:v>
                </c:pt>
                <c:pt idx="21">
                  <c:v>88.8888888888889</c:v>
                </c:pt>
                <c:pt idx="22">
                  <c:v>92.929292929292941</c:v>
                </c:pt>
                <c:pt idx="23">
                  <c:v>96.969696969696969</c:v>
                </c:pt>
                <c:pt idx="24">
                  <c:v>101.01010101010101</c:v>
                </c:pt>
                <c:pt idx="25">
                  <c:v>105.05050505050505</c:v>
                </c:pt>
                <c:pt idx="26">
                  <c:v>109.09090909090909</c:v>
                </c:pt>
                <c:pt idx="27">
                  <c:v>113.13131313131314</c:v>
                </c:pt>
                <c:pt idx="28">
                  <c:v>117.17171717171718</c:v>
                </c:pt>
                <c:pt idx="29">
                  <c:v>121.21212121212122</c:v>
                </c:pt>
                <c:pt idx="30">
                  <c:v>125.25252525252526</c:v>
                </c:pt>
                <c:pt idx="31">
                  <c:v>129.2929292929293</c:v>
                </c:pt>
                <c:pt idx="32">
                  <c:v>133.33333333333334</c:v>
                </c:pt>
                <c:pt idx="33">
                  <c:v>137.37373737373738</c:v>
                </c:pt>
                <c:pt idx="34">
                  <c:v>141.41414141414143</c:v>
                </c:pt>
                <c:pt idx="35">
                  <c:v>145.45454545454547</c:v>
                </c:pt>
                <c:pt idx="36">
                  <c:v>149.49494949494951</c:v>
                </c:pt>
                <c:pt idx="37">
                  <c:v>153.53535353535355</c:v>
                </c:pt>
                <c:pt idx="38">
                  <c:v>157.57575757575759</c:v>
                </c:pt>
                <c:pt idx="39">
                  <c:v>161.61616161616163</c:v>
                </c:pt>
                <c:pt idx="40">
                  <c:v>165.65656565656568</c:v>
                </c:pt>
                <c:pt idx="41">
                  <c:v>169.69696969696972</c:v>
                </c:pt>
                <c:pt idx="42">
                  <c:v>173.73737373737376</c:v>
                </c:pt>
                <c:pt idx="43">
                  <c:v>177.7777777777778</c:v>
                </c:pt>
                <c:pt idx="44">
                  <c:v>181.81818181818184</c:v>
                </c:pt>
                <c:pt idx="45">
                  <c:v>185.85858585858588</c:v>
                </c:pt>
                <c:pt idx="46">
                  <c:v>189.89898989898992</c:v>
                </c:pt>
                <c:pt idx="47">
                  <c:v>193.93939393939394</c:v>
                </c:pt>
                <c:pt idx="48">
                  <c:v>197.97979797979798</c:v>
                </c:pt>
                <c:pt idx="49">
                  <c:v>202.02020202020202</c:v>
                </c:pt>
                <c:pt idx="50">
                  <c:v>206.06060606060606</c:v>
                </c:pt>
                <c:pt idx="51">
                  <c:v>210.1010101010101</c:v>
                </c:pt>
                <c:pt idx="52">
                  <c:v>214.14141414141415</c:v>
                </c:pt>
                <c:pt idx="53">
                  <c:v>218.18181818181819</c:v>
                </c:pt>
                <c:pt idx="54">
                  <c:v>222.22222222222223</c:v>
                </c:pt>
                <c:pt idx="55">
                  <c:v>226.26262626262627</c:v>
                </c:pt>
                <c:pt idx="56">
                  <c:v>230.30303030303031</c:v>
                </c:pt>
                <c:pt idx="57">
                  <c:v>234.34343434343435</c:v>
                </c:pt>
                <c:pt idx="58">
                  <c:v>238.38383838383839</c:v>
                </c:pt>
                <c:pt idx="59">
                  <c:v>242.42424242424244</c:v>
                </c:pt>
                <c:pt idx="60">
                  <c:v>246.46464646464648</c:v>
                </c:pt>
                <c:pt idx="61">
                  <c:v>250.50505050505052</c:v>
                </c:pt>
                <c:pt idx="62">
                  <c:v>254.54545454545456</c:v>
                </c:pt>
                <c:pt idx="63">
                  <c:v>258.5858585858586</c:v>
                </c:pt>
                <c:pt idx="64">
                  <c:v>262.62626262626264</c:v>
                </c:pt>
                <c:pt idx="65">
                  <c:v>266.66666666666669</c:v>
                </c:pt>
                <c:pt idx="66">
                  <c:v>270.70707070707073</c:v>
                </c:pt>
                <c:pt idx="67">
                  <c:v>274.74747474747477</c:v>
                </c:pt>
                <c:pt idx="68">
                  <c:v>278.78787878787881</c:v>
                </c:pt>
                <c:pt idx="69">
                  <c:v>282.82828282828285</c:v>
                </c:pt>
                <c:pt idx="70">
                  <c:v>286.86868686868689</c:v>
                </c:pt>
                <c:pt idx="71">
                  <c:v>290.90909090909093</c:v>
                </c:pt>
                <c:pt idx="72">
                  <c:v>294.94949494949498</c:v>
                </c:pt>
                <c:pt idx="73">
                  <c:v>298.98989898989902</c:v>
                </c:pt>
                <c:pt idx="74">
                  <c:v>303.03030303030306</c:v>
                </c:pt>
                <c:pt idx="75">
                  <c:v>307.0707070707071</c:v>
                </c:pt>
                <c:pt idx="76">
                  <c:v>311.11111111111114</c:v>
                </c:pt>
                <c:pt idx="77">
                  <c:v>315.15151515151518</c:v>
                </c:pt>
                <c:pt idx="78">
                  <c:v>319.19191919191923</c:v>
                </c:pt>
                <c:pt idx="79">
                  <c:v>323.23232323232327</c:v>
                </c:pt>
                <c:pt idx="80">
                  <c:v>327.27272727272731</c:v>
                </c:pt>
                <c:pt idx="81">
                  <c:v>331.31313131313135</c:v>
                </c:pt>
                <c:pt idx="82">
                  <c:v>335.35353535353539</c:v>
                </c:pt>
                <c:pt idx="83">
                  <c:v>339.39393939393943</c:v>
                </c:pt>
                <c:pt idx="84">
                  <c:v>343.43434343434348</c:v>
                </c:pt>
                <c:pt idx="85">
                  <c:v>347.47474747474752</c:v>
                </c:pt>
                <c:pt idx="86">
                  <c:v>351.51515151515156</c:v>
                </c:pt>
                <c:pt idx="87">
                  <c:v>355.5555555555556</c:v>
                </c:pt>
                <c:pt idx="88">
                  <c:v>359.59595959595964</c:v>
                </c:pt>
                <c:pt idx="89">
                  <c:v>363.63636363636368</c:v>
                </c:pt>
                <c:pt idx="90">
                  <c:v>367.67676767676772</c:v>
                </c:pt>
                <c:pt idx="91">
                  <c:v>371.71717171717177</c:v>
                </c:pt>
                <c:pt idx="92">
                  <c:v>375.75757575757581</c:v>
                </c:pt>
                <c:pt idx="93">
                  <c:v>379.79797979797985</c:v>
                </c:pt>
                <c:pt idx="94">
                  <c:v>383.83838383838389</c:v>
                </c:pt>
                <c:pt idx="95">
                  <c:v>387.87878787878788</c:v>
                </c:pt>
                <c:pt idx="96">
                  <c:v>391.91919191919192</c:v>
                </c:pt>
                <c:pt idx="97">
                  <c:v>395.95959595959596</c:v>
                </c:pt>
                <c:pt idx="98">
                  <c:v>400</c:v>
                </c:pt>
              </c:numCache>
            </c:numRef>
          </c:cat>
          <c:val>
            <c:numRef>
              <c:f>'LC Tuning - 100 Points'!$C$16:$C$114</c:f>
              <c:numCache>
                <c:formatCode>#,##0.00</c:formatCode>
                <c:ptCount val="99"/>
                <c:pt idx="0">
                  <c:v>15357.843756722281</c:v>
                </c:pt>
                <c:pt idx="1">
                  <c:v>10859.635464781806</c:v>
                </c:pt>
                <c:pt idx="2">
                  <c:v>8866.8552271158223</c:v>
                </c:pt>
                <c:pt idx="3">
                  <c:v>7678.9218783611404</c:v>
                </c:pt>
                <c:pt idx="4">
                  <c:v>6868.2365255703517</c:v>
                </c:pt>
                <c:pt idx="5">
                  <c:v>6269.8134588929815</c:v>
                </c:pt>
                <c:pt idx="6">
                  <c:v>5804.7193220675872</c:v>
                </c:pt>
                <c:pt idx="7">
                  <c:v>5429.8177323909031</c:v>
                </c:pt>
                <c:pt idx="8">
                  <c:v>5119.2812522407603</c:v>
                </c:pt>
                <c:pt idx="9">
                  <c:v>4856.5766220239284</c:v>
                </c:pt>
                <c:pt idx="10">
                  <c:v>4630.5641209045471</c:v>
                </c:pt>
                <c:pt idx="11">
                  <c:v>4433.4276135579112</c:v>
                </c:pt>
                <c:pt idx="12">
                  <c:v>4259.4994727251296</c:v>
                </c:pt>
                <c:pt idx="13">
                  <c:v>4104.5563955185698</c:v>
                </c:pt>
                <c:pt idx="14">
                  <c:v>3965.3782068960631</c:v>
                </c:pt>
                <c:pt idx="15">
                  <c:v>3839.4609391805702</c:v>
                </c:pt>
                <c:pt idx="16">
                  <c:v>3724.8242347469827</c:v>
                </c:pt>
                <c:pt idx="17">
                  <c:v>3619.8784882606019</c:v>
                </c:pt>
                <c:pt idx="18">
                  <c:v>3523.330996117867</c:v>
                </c:pt>
                <c:pt idx="19">
                  <c:v>3434.1182627851758</c:v>
                </c:pt>
                <c:pt idx="20">
                  <c:v>3351.3562631659433</c:v>
                </c:pt>
                <c:pt idx="21">
                  <c:v>3274.3032906107296</c:v>
                </c:pt>
                <c:pt idx="22">
                  <c:v>3202.3317921130497</c:v>
                </c:pt>
                <c:pt idx="23">
                  <c:v>3134.9067294464908</c:v>
                </c:pt>
                <c:pt idx="24">
                  <c:v>3071.5687513444564</c:v>
                </c:pt>
                <c:pt idx="25">
                  <c:v>3011.920961624463</c:v>
                </c:pt>
                <c:pt idx="26">
                  <c:v>2955.6184090386078</c:v>
                </c:pt>
                <c:pt idx="27">
                  <c:v>2902.3596610337936</c:v>
                </c:pt>
                <c:pt idx="28">
                  <c:v>2851.8799900748681</c:v>
                </c:pt>
                <c:pt idx="29">
                  <c:v>2803.9458200655586</c:v>
                </c:pt>
                <c:pt idx="30">
                  <c:v>2758.3501664061246</c:v>
                </c:pt>
                <c:pt idx="31">
                  <c:v>2714.9088661954515</c:v>
                </c:pt>
                <c:pt idx="32">
                  <c:v>2673.4574417040631</c:v>
                </c:pt>
                <c:pt idx="33">
                  <c:v>2633.8484751175838</c:v>
                </c:pt>
                <c:pt idx="34">
                  <c:v>2595.9493988899239</c:v>
                </c:pt>
                <c:pt idx="35">
                  <c:v>2559.6406261203801</c:v>
                </c:pt>
                <c:pt idx="36">
                  <c:v>2524.813960799047</c:v>
                </c:pt>
                <c:pt idx="37">
                  <c:v>2491.3712397196973</c:v>
                </c:pt>
                <c:pt idx="38">
                  <c:v>2459.2231671909226</c:v>
                </c:pt>
                <c:pt idx="39">
                  <c:v>2428.2883110119642</c:v>
                </c:pt>
                <c:pt idx="40">
                  <c:v>2398.4922339847608</c:v>
                </c:pt>
                <c:pt idx="41">
                  <c:v>2369.7667398566464</c:v>
                </c:pt>
                <c:pt idx="42">
                  <c:v>2342.0492162916662</c:v>
                </c:pt>
                <c:pt idx="43">
                  <c:v>2315.2820604522735</c:v>
                </c:pt>
                <c:pt idx="44">
                  <c:v>2289.4121751901175</c:v>
                </c:pt>
                <c:pt idx="45">
                  <c:v>2264.3905258124073</c:v>
                </c:pt>
                <c:pt idx="46">
                  <c:v>2240.1717490002879</c:v>
                </c:pt>
                <c:pt idx="47">
                  <c:v>2216.7138067789556</c:v>
                </c:pt>
                <c:pt idx="48">
                  <c:v>2193.9776795317539</c:v>
                </c:pt>
                <c:pt idx="49">
                  <c:v>2171.9270929563618</c:v>
                </c:pt>
                <c:pt idx="50">
                  <c:v>2150.5282746152125</c:v>
                </c:pt>
                <c:pt idx="51">
                  <c:v>2129.7497363625648</c:v>
                </c:pt>
                <c:pt idx="52">
                  <c:v>2109.5620794592255</c:v>
                </c:pt>
                <c:pt idx="53">
                  <c:v>2089.9378196309945</c:v>
                </c:pt>
                <c:pt idx="54">
                  <c:v>2070.8512297028246</c:v>
                </c:pt>
                <c:pt idx="55">
                  <c:v>2052.2781977592849</c:v>
                </c:pt>
                <c:pt idx="56">
                  <c:v>2034.1960990528025</c:v>
                </c:pt>
                <c:pt idx="57">
                  <c:v>2016.5836801121632</c:v>
                </c:pt>
                <c:pt idx="58">
                  <c:v>1999.4209537013185</c:v>
                </c:pt>
                <c:pt idx="59">
                  <c:v>1982.6891034480316</c:v>
                </c:pt>
                <c:pt idx="60">
                  <c:v>1966.3703971076266</c:v>
                </c:pt>
                <c:pt idx="61">
                  <c:v>1950.4481075528122</c:v>
                </c:pt>
                <c:pt idx="62">
                  <c:v>1934.9064406891957</c:v>
                </c:pt>
                <c:pt idx="63">
                  <c:v>1919.7304695902851</c:v>
                </c:pt>
                <c:pt idx="64">
                  <c:v>1904.9060742275799</c:v>
                </c:pt>
                <c:pt idx="65">
                  <c:v>1890.4198862425822</c:v>
                </c:pt>
                <c:pt idx="66">
                  <c:v>1876.2592382697123</c:v>
                </c:pt>
                <c:pt idx="67">
                  <c:v>1862.4121173734914</c:v>
                </c:pt>
                <c:pt idx="68">
                  <c:v>1848.867122210966</c:v>
                </c:pt>
                <c:pt idx="69">
                  <c:v>1835.613423572207</c:v>
                </c:pt>
                <c:pt idx="70">
                  <c:v>1822.6407279884986</c:v>
                </c:pt>
                <c:pt idx="71">
                  <c:v>1809.9392441303009</c:v>
                </c:pt>
                <c:pt idx="72">
                  <c:v>1797.4996517457073</c:v>
                </c:pt>
                <c:pt idx="73">
                  <c:v>1785.3130729154718</c:v>
                </c:pt>
                <c:pt idx="74">
                  <c:v>1773.3710454231641</c:v>
                </c:pt>
                <c:pt idx="75">
                  <c:v>1761.6654980589335</c:v>
                </c:pt>
                <c:pt idx="76">
                  <c:v>1750.1887276931227</c:v>
                </c:pt>
                <c:pt idx="77">
                  <c:v>1738.9333779717601</c:v>
                </c:pt>
                <c:pt idx="78">
                  <c:v>1727.8924195000511</c:v>
                </c:pt>
                <c:pt idx="79">
                  <c:v>1717.0591313925879</c:v>
                </c:pt>
                <c:pt idx="80">
                  <c:v>1706.4270840802533</c:v>
                </c:pt>
                <c:pt idx="81">
                  <c:v>1695.9901232738957</c:v>
                </c:pt>
                <c:pt idx="82">
                  <c:v>1685.7423549939069</c:v>
                </c:pt>
                <c:pt idx="83">
                  <c:v>1675.6781315829717</c:v>
                </c:pt>
                <c:pt idx="84">
                  <c:v>1665.7920386265773</c:v>
                </c:pt>
                <c:pt idx="85">
                  <c:v>1656.0788827124763</c:v>
                </c:pt>
                <c:pt idx="86">
                  <c:v>1646.5336799662325</c:v>
                </c:pt>
                <c:pt idx="87">
                  <c:v>1637.1516453053648</c:v>
                </c:pt>
                <c:pt idx="88">
                  <c:v>1627.9281823594529</c:v>
                </c:pt>
                <c:pt idx="89">
                  <c:v>1618.8588740079761</c:v>
                </c:pt>
                <c:pt idx="90">
                  <c:v>1609.9394734916348</c:v>
                </c:pt>
                <c:pt idx="91">
                  <c:v>1601.1658960565248</c:v>
                </c:pt>
                <c:pt idx="92">
                  <c:v>1592.534211093825</c:v>
                </c:pt>
                <c:pt idx="93">
                  <c:v>1584.0406347406322</c:v>
                </c:pt>
                <c:pt idx="94">
                  <c:v>1575.6815229103197</c:v>
                </c:pt>
                <c:pt idx="95">
                  <c:v>1567.4533647232454</c:v>
                </c:pt>
                <c:pt idx="96">
                  <c:v>1559.3527763109262</c:v>
                </c:pt>
                <c:pt idx="97">
                  <c:v>1551.3764949688295</c:v>
                </c:pt>
                <c:pt idx="98">
                  <c:v>1543.5213736348492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5-4402-A878-E9777C7AE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Magnetic field (nT)</c:v>
          </c:tx>
          <c:marker>
            <c:symbol val="none"/>
          </c:marker>
          <c:cat>
            <c:numRef>
              <c:f>'LC Tuning - 100 Points'!$B$16:$B$114</c:f>
              <c:numCache>
                <c:formatCode>0.000</c:formatCode>
                <c:ptCount val="99"/>
                <c:pt idx="0">
                  <c:v>4.0404040404040407</c:v>
                </c:pt>
                <c:pt idx="1">
                  <c:v>8.0808080808080813</c:v>
                </c:pt>
                <c:pt idx="2">
                  <c:v>12.121212121212121</c:v>
                </c:pt>
                <c:pt idx="3">
                  <c:v>16.161616161616163</c:v>
                </c:pt>
                <c:pt idx="4">
                  <c:v>20.202020202020204</c:v>
                </c:pt>
                <c:pt idx="5">
                  <c:v>24.242424242424242</c:v>
                </c:pt>
                <c:pt idx="6">
                  <c:v>28.282828282828284</c:v>
                </c:pt>
                <c:pt idx="7">
                  <c:v>32.323232323232325</c:v>
                </c:pt>
                <c:pt idx="8">
                  <c:v>36.363636363636367</c:v>
                </c:pt>
                <c:pt idx="9">
                  <c:v>40.404040404040408</c:v>
                </c:pt>
                <c:pt idx="10">
                  <c:v>44.44444444444445</c:v>
                </c:pt>
                <c:pt idx="11">
                  <c:v>48.484848484848484</c:v>
                </c:pt>
                <c:pt idx="12">
                  <c:v>52.525252525252526</c:v>
                </c:pt>
                <c:pt idx="13">
                  <c:v>56.565656565656568</c:v>
                </c:pt>
                <c:pt idx="14">
                  <c:v>60.606060606060609</c:v>
                </c:pt>
                <c:pt idx="15">
                  <c:v>64.646464646464651</c:v>
                </c:pt>
                <c:pt idx="16">
                  <c:v>68.686868686868692</c:v>
                </c:pt>
                <c:pt idx="17">
                  <c:v>72.727272727272734</c:v>
                </c:pt>
                <c:pt idx="18">
                  <c:v>76.767676767676775</c:v>
                </c:pt>
                <c:pt idx="19">
                  <c:v>80.808080808080817</c:v>
                </c:pt>
                <c:pt idx="20">
                  <c:v>84.848484848484858</c:v>
                </c:pt>
                <c:pt idx="21">
                  <c:v>88.8888888888889</c:v>
                </c:pt>
                <c:pt idx="22">
                  <c:v>92.929292929292941</c:v>
                </c:pt>
                <c:pt idx="23">
                  <c:v>96.969696969696969</c:v>
                </c:pt>
                <c:pt idx="24">
                  <c:v>101.01010101010101</c:v>
                </c:pt>
                <c:pt idx="25">
                  <c:v>105.05050505050505</c:v>
                </c:pt>
                <c:pt idx="26">
                  <c:v>109.09090909090909</c:v>
                </c:pt>
                <c:pt idx="27">
                  <c:v>113.13131313131314</c:v>
                </c:pt>
                <c:pt idx="28">
                  <c:v>117.17171717171718</c:v>
                </c:pt>
                <c:pt idx="29">
                  <c:v>121.21212121212122</c:v>
                </c:pt>
                <c:pt idx="30">
                  <c:v>125.25252525252526</c:v>
                </c:pt>
                <c:pt idx="31">
                  <c:v>129.2929292929293</c:v>
                </c:pt>
                <c:pt idx="32">
                  <c:v>133.33333333333334</c:v>
                </c:pt>
                <c:pt idx="33">
                  <c:v>137.37373737373738</c:v>
                </c:pt>
                <c:pt idx="34">
                  <c:v>141.41414141414143</c:v>
                </c:pt>
                <c:pt idx="35">
                  <c:v>145.45454545454547</c:v>
                </c:pt>
                <c:pt idx="36">
                  <c:v>149.49494949494951</c:v>
                </c:pt>
                <c:pt idx="37">
                  <c:v>153.53535353535355</c:v>
                </c:pt>
                <c:pt idx="38">
                  <c:v>157.57575757575759</c:v>
                </c:pt>
                <c:pt idx="39">
                  <c:v>161.61616161616163</c:v>
                </c:pt>
                <c:pt idx="40">
                  <c:v>165.65656565656568</c:v>
                </c:pt>
                <c:pt idx="41">
                  <c:v>169.69696969696972</c:v>
                </c:pt>
                <c:pt idx="42">
                  <c:v>173.73737373737376</c:v>
                </c:pt>
                <c:pt idx="43">
                  <c:v>177.7777777777778</c:v>
                </c:pt>
                <c:pt idx="44">
                  <c:v>181.81818181818184</c:v>
                </c:pt>
                <c:pt idx="45">
                  <c:v>185.85858585858588</c:v>
                </c:pt>
                <c:pt idx="46">
                  <c:v>189.89898989898992</c:v>
                </c:pt>
                <c:pt idx="47">
                  <c:v>193.93939393939394</c:v>
                </c:pt>
                <c:pt idx="48">
                  <c:v>197.97979797979798</c:v>
                </c:pt>
                <c:pt idx="49">
                  <c:v>202.02020202020202</c:v>
                </c:pt>
                <c:pt idx="50">
                  <c:v>206.06060606060606</c:v>
                </c:pt>
                <c:pt idx="51">
                  <c:v>210.1010101010101</c:v>
                </c:pt>
                <c:pt idx="52">
                  <c:v>214.14141414141415</c:v>
                </c:pt>
                <c:pt idx="53">
                  <c:v>218.18181818181819</c:v>
                </c:pt>
                <c:pt idx="54">
                  <c:v>222.22222222222223</c:v>
                </c:pt>
                <c:pt idx="55">
                  <c:v>226.26262626262627</c:v>
                </c:pt>
                <c:pt idx="56">
                  <c:v>230.30303030303031</c:v>
                </c:pt>
                <c:pt idx="57">
                  <c:v>234.34343434343435</c:v>
                </c:pt>
                <c:pt idx="58">
                  <c:v>238.38383838383839</c:v>
                </c:pt>
                <c:pt idx="59">
                  <c:v>242.42424242424244</c:v>
                </c:pt>
                <c:pt idx="60">
                  <c:v>246.46464646464648</c:v>
                </c:pt>
                <c:pt idx="61">
                  <c:v>250.50505050505052</c:v>
                </c:pt>
                <c:pt idx="62">
                  <c:v>254.54545454545456</c:v>
                </c:pt>
                <c:pt idx="63">
                  <c:v>258.5858585858586</c:v>
                </c:pt>
                <c:pt idx="64">
                  <c:v>262.62626262626264</c:v>
                </c:pt>
                <c:pt idx="65">
                  <c:v>266.66666666666669</c:v>
                </c:pt>
                <c:pt idx="66">
                  <c:v>270.70707070707073</c:v>
                </c:pt>
                <c:pt idx="67">
                  <c:v>274.74747474747477</c:v>
                </c:pt>
                <c:pt idx="68">
                  <c:v>278.78787878787881</c:v>
                </c:pt>
                <c:pt idx="69">
                  <c:v>282.82828282828285</c:v>
                </c:pt>
                <c:pt idx="70">
                  <c:v>286.86868686868689</c:v>
                </c:pt>
                <c:pt idx="71">
                  <c:v>290.90909090909093</c:v>
                </c:pt>
                <c:pt idx="72">
                  <c:v>294.94949494949498</c:v>
                </c:pt>
                <c:pt idx="73">
                  <c:v>298.98989898989902</c:v>
                </c:pt>
                <c:pt idx="74">
                  <c:v>303.03030303030306</c:v>
                </c:pt>
                <c:pt idx="75">
                  <c:v>307.0707070707071</c:v>
                </c:pt>
                <c:pt idx="76">
                  <c:v>311.11111111111114</c:v>
                </c:pt>
                <c:pt idx="77">
                  <c:v>315.15151515151518</c:v>
                </c:pt>
                <c:pt idx="78">
                  <c:v>319.19191919191923</c:v>
                </c:pt>
                <c:pt idx="79">
                  <c:v>323.23232323232327</c:v>
                </c:pt>
                <c:pt idx="80">
                  <c:v>327.27272727272731</c:v>
                </c:pt>
                <c:pt idx="81">
                  <c:v>331.31313131313135</c:v>
                </c:pt>
                <c:pt idx="82">
                  <c:v>335.35353535353539</c:v>
                </c:pt>
                <c:pt idx="83">
                  <c:v>339.39393939393943</c:v>
                </c:pt>
                <c:pt idx="84">
                  <c:v>343.43434343434348</c:v>
                </c:pt>
                <c:pt idx="85">
                  <c:v>347.47474747474752</c:v>
                </c:pt>
                <c:pt idx="86">
                  <c:v>351.51515151515156</c:v>
                </c:pt>
                <c:pt idx="87">
                  <c:v>355.5555555555556</c:v>
                </c:pt>
                <c:pt idx="88">
                  <c:v>359.59595959595964</c:v>
                </c:pt>
                <c:pt idx="89">
                  <c:v>363.63636363636368</c:v>
                </c:pt>
                <c:pt idx="90">
                  <c:v>367.67676767676772</c:v>
                </c:pt>
                <c:pt idx="91">
                  <c:v>371.71717171717177</c:v>
                </c:pt>
                <c:pt idx="92">
                  <c:v>375.75757575757581</c:v>
                </c:pt>
                <c:pt idx="93">
                  <c:v>379.79797979797985</c:v>
                </c:pt>
                <c:pt idx="94">
                  <c:v>383.83838383838389</c:v>
                </c:pt>
                <c:pt idx="95">
                  <c:v>387.87878787878788</c:v>
                </c:pt>
                <c:pt idx="96">
                  <c:v>391.91919191919192</c:v>
                </c:pt>
                <c:pt idx="97">
                  <c:v>395.95959595959596</c:v>
                </c:pt>
                <c:pt idx="98">
                  <c:v>400</c:v>
                </c:pt>
              </c:numCache>
            </c:numRef>
          </c:cat>
          <c:val>
            <c:numRef>
              <c:f>'LC Tuning - 100 Points'!$D$16:$D$114</c:f>
              <c:numCache>
                <c:formatCode>#,##0</c:formatCode>
                <c:ptCount val="99"/>
                <c:pt idx="0">
                  <c:v>360703.45511951414</c:v>
                </c:pt>
                <c:pt idx="1">
                  <c:v>255055.85911242594</c:v>
                </c:pt>
                <c:pt idx="2">
                  <c:v>208252.23691087961</c:v>
                </c:pt>
                <c:pt idx="3">
                  <c:v>180351.72755975707</c:v>
                </c:pt>
                <c:pt idx="4">
                  <c:v>161311.48907325562</c:v>
                </c:pt>
                <c:pt idx="5">
                  <c:v>147256.56891695037</c:v>
                </c:pt>
                <c:pt idx="6">
                  <c:v>136333.0913268546</c:v>
                </c:pt>
                <c:pt idx="7">
                  <c:v>127527.92955621297</c:v>
                </c:pt>
                <c:pt idx="8">
                  <c:v>120234.48503983805</c:v>
                </c:pt>
                <c:pt idx="9">
                  <c:v>114064.44780699872</c:v>
                </c:pt>
                <c:pt idx="10">
                  <c:v>108756.18374692972</c:v>
                </c:pt>
                <c:pt idx="11">
                  <c:v>104126.11845543981</c:v>
                </c:pt>
                <c:pt idx="12">
                  <c:v>100041.13866695632</c:v>
                </c:pt>
                <c:pt idx="13">
                  <c:v>96402.053377343778</c:v>
                </c:pt>
                <c:pt idx="14">
                  <c:v>93133.231639823527</c:v>
                </c:pt>
                <c:pt idx="15">
                  <c:v>90175.863779878535</c:v>
                </c:pt>
                <c:pt idx="16">
                  <c:v>87483.437940176256</c:v>
                </c:pt>
                <c:pt idx="17">
                  <c:v>85018.61970414198</c:v>
                </c:pt>
                <c:pt idx="18">
                  <c:v>82751.047865890578</c:v>
                </c:pt>
                <c:pt idx="19">
                  <c:v>80655.744536627812</c:v>
                </c:pt>
                <c:pt idx="20">
                  <c:v>78711.946977013344</c:v>
                </c:pt>
                <c:pt idx="21">
                  <c:v>76902.235023424204</c:v>
                </c:pt>
                <c:pt idx="22">
                  <c:v>75211.869592607851</c:v>
                </c:pt>
                <c:pt idx="23">
                  <c:v>73628.284458475187</c:v>
                </c:pt>
                <c:pt idx="24">
                  <c:v>72140.691023902837</c:v>
                </c:pt>
                <c:pt idx="25">
                  <c:v>70739.767549028547</c:v>
                </c:pt>
                <c:pt idx="26">
                  <c:v>69417.412303626537</c:v>
                </c:pt>
                <c:pt idx="27">
                  <c:v>68166.5456634273</c:v>
                </c:pt>
                <c:pt idx="28">
                  <c:v>66980.950080049224</c:v>
                </c:pt>
                <c:pt idx="29">
                  <c:v>65855.139646336727</c:v>
                </c:pt>
                <c:pt idx="30">
                  <c:v>64784.252998841584</c:v>
                </c:pt>
                <c:pt idx="31">
                  <c:v>63763.964778106485</c:v>
                </c:pt>
                <c:pt idx="32">
                  <c:v>62790.411962326281</c:v>
                </c:pt>
                <c:pt idx="33">
                  <c:v>61860.132209011113</c:v>
                </c:pt>
                <c:pt idx="34">
                  <c:v>60970.011957906783</c:v>
                </c:pt>
                <c:pt idx="35">
                  <c:v>60117.242519919026</c:v>
                </c:pt>
                <c:pt idx="36">
                  <c:v>59299.28273919152</c:v>
                </c:pt>
                <c:pt idx="37">
                  <c:v>58513.827096263813</c:v>
                </c:pt>
                <c:pt idx="38">
                  <c:v>57758.778339403907</c:v>
                </c:pt>
                <c:pt idx="39">
                  <c:v>57032.223903499362</c:v>
                </c:pt>
                <c:pt idx="40">
                  <c:v>56332.41551223251</c:v>
                </c:pt>
                <c:pt idx="41">
                  <c:v>55657.751467842107</c:v>
                </c:pt>
                <c:pt idx="42">
                  <c:v>55006.761219756743</c:v>
                </c:pt>
                <c:pt idx="43">
                  <c:v>54378.091873464859</c:v>
                </c:pt>
                <c:pt idx="44">
                  <c:v>53770.496357751879</c:v>
                </c:pt>
                <c:pt idx="45">
                  <c:v>53182.823014651316</c:v>
                </c:pt>
                <c:pt idx="46">
                  <c:v>52614.006414269112</c:v>
                </c:pt>
                <c:pt idx="47">
                  <c:v>52063.059227719903</c:v>
                </c:pt>
                <c:pt idx="48">
                  <c:v>51529.065017073437</c:v>
                </c:pt>
                <c:pt idx="49">
                  <c:v>51011.171822485201</c:v>
                </c:pt>
                <c:pt idx="50">
                  <c:v>50508.586444394685</c:v>
                </c:pt>
                <c:pt idx="51">
                  <c:v>50020.569333478161</c:v>
                </c:pt>
                <c:pt idx="52">
                  <c:v>49546.430013457109</c:v>
                </c:pt>
                <c:pt idx="53">
                  <c:v>49085.522972316801</c:v>
                </c:pt>
                <c:pt idx="54">
                  <c:v>48637.243966318536</c:v>
                </c:pt>
                <c:pt idx="55">
                  <c:v>48201.026688671889</c:v>
                </c:pt>
                <c:pt idx="56">
                  <c:v>47776.339761095522</c:v>
                </c:pt>
                <c:pt idx="57">
                  <c:v>47362.684011920428</c:v>
                </c:pt>
                <c:pt idx="58">
                  <c:v>46959.59000903002</c:v>
                </c:pt>
                <c:pt idx="59">
                  <c:v>46566.615819911764</c:v>
                </c:pt>
                <c:pt idx="60">
                  <c:v>46183.344974517961</c:v>
                </c:pt>
                <c:pt idx="61">
                  <c:v>45809.38460958581</c:v>
                </c:pt>
                <c:pt idx="62">
                  <c:v>45444.3637756182</c:v>
                </c:pt>
                <c:pt idx="63">
                  <c:v>45087.931889939267</c:v>
                </c:pt>
                <c:pt idx="64">
                  <c:v>44739.757321159392</c:v>
                </c:pt>
                <c:pt idx="65">
                  <c:v>44399.526092057829</c:v>
                </c:pt>
                <c:pt idx="66">
                  <c:v>44066.940689350522</c:v>
                </c:pt>
                <c:pt idx="67">
                  <c:v>43741.718970088128</c:v>
                </c:pt>
                <c:pt idx="68">
                  <c:v>43423.593155547169</c:v>
                </c:pt>
                <c:pt idx="69">
                  <c:v>43112.308904460777</c:v>
                </c:pt>
                <c:pt idx="70">
                  <c:v>42807.624458298917</c:v>
                </c:pt>
                <c:pt idx="71">
                  <c:v>42509.30985207099</c:v>
                </c:pt>
                <c:pt idx="72">
                  <c:v>42217.146184795929</c:v>
                </c:pt>
                <c:pt idx="73">
                  <c:v>41930.924944380706</c:v>
                </c:pt>
                <c:pt idx="74">
                  <c:v>41650.447382175909</c:v>
                </c:pt>
                <c:pt idx="75">
                  <c:v>41375.523932945289</c:v>
                </c:pt>
                <c:pt idx="76">
                  <c:v>41105.973676402973</c:v>
                </c:pt>
                <c:pt idx="77">
                  <c:v>40841.62383684318</c:v>
                </c:pt>
                <c:pt idx="78">
                  <c:v>40582.309317717845</c:v>
                </c:pt>
                <c:pt idx="79">
                  <c:v>40327.872268313906</c:v>
                </c:pt>
                <c:pt idx="80">
                  <c:v>40078.161679946017</c:v>
                </c:pt>
                <c:pt idx="81">
                  <c:v>39833.033009317871</c:v>
                </c:pt>
                <c:pt idx="82">
                  <c:v>39592.347826917954</c:v>
                </c:pt>
                <c:pt idx="83">
                  <c:v>39355.973488506672</c:v>
                </c:pt>
                <c:pt idx="84">
                  <c:v>39123.782827923649</c:v>
                </c:pt>
                <c:pt idx="85">
                  <c:v>38895.653869599199</c:v>
                </c:pt>
                <c:pt idx="86">
                  <c:v>38671.469559293306</c:v>
                </c:pt>
                <c:pt idx="87">
                  <c:v>38451.117511712102</c:v>
                </c:pt>
                <c:pt idx="88">
                  <c:v>38234.489773765425</c:v>
                </c:pt>
                <c:pt idx="89">
                  <c:v>38021.482602332908</c:v>
                </c:pt>
                <c:pt idx="90">
                  <c:v>37811.996255499165</c:v>
                </c:pt>
                <c:pt idx="91">
                  <c:v>37605.934796303925</c:v>
                </c:pt>
                <c:pt idx="92">
                  <c:v>37403.20590813001</c:v>
                </c:pt>
                <c:pt idx="93">
                  <c:v>37203.720720922196</c:v>
                </c:pt>
                <c:pt idx="94">
                  <c:v>37007.393647494042</c:v>
                </c:pt>
                <c:pt idx="95">
                  <c:v>36814.142229237594</c:v>
                </c:pt>
                <c:pt idx="96">
                  <c:v>36623.886990604515</c:v>
                </c:pt>
                <c:pt idx="97">
                  <c:v>36436.551301775136</c:v>
                </c:pt>
                <c:pt idx="98">
                  <c:v>36252.061248976577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3-476C-80EE-D5E7A1304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14</xdr:col>
      <xdr:colOff>0</xdr:colOff>
      <xdr:row>52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workbookViewId="0">
      <pane ySplit="14" topLeftCell="A15" activePane="bottomLeft" state="frozen"/>
      <selection pane="bottomLeft"/>
    </sheetView>
  </sheetViews>
  <sheetFormatPr defaultRowHeight="14.25"/>
  <cols>
    <col min="1" max="1" width="10" customWidth="1"/>
    <col min="2" max="2" width="22" customWidth="1"/>
    <col min="3" max="3" width="21" customWidth="1"/>
    <col min="4" max="4" width="25" customWidth="1"/>
    <col min="5" max="5" width="24" customWidth="1"/>
    <col min="6" max="6" width="3" customWidth="1"/>
    <col min="7" max="7" width="23" customWidth="1"/>
    <col min="8" max="9" width="19" customWidth="1"/>
    <col min="10" max="10" width="17" customWidth="1"/>
    <col min="11" max="12" width="18" customWidth="1"/>
    <col min="13" max="14" width="12" customWidth="1"/>
  </cols>
  <sheetData>
    <row r="1" spans="1:14" ht="24" customHeight="1">
      <c r="A1" s="14" t="s">
        <v>0</v>
      </c>
      <c r="B1" s="14"/>
      <c r="C1" s="14"/>
      <c r="D1" s="14"/>
      <c r="E1" s="14"/>
    </row>
    <row r="2" spans="1:14" ht="24" customHeight="1">
      <c r="A2" s="14"/>
      <c r="B2" s="14"/>
      <c r="C2" s="14"/>
      <c r="D2" s="14"/>
      <c r="E2" s="14"/>
    </row>
    <row r="3" spans="1:14" ht="24" customHeight="1">
      <c r="A3" s="1" t="s">
        <v>1</v>
      </c>
      <c r="B3" s="1"/>
      <c r="C3" s="1"/>
      <c r="D3" s="1"/>
      <c r="E3" s="1"/>
    </row>
    <row r="5" spans="1:14" ht="15">
      <c r="A5" s="2" t="s">
        <v>2</v>
      </c>
      <c r="B5" s="8">
        <v>13.45</v>
      </c>
      <c r="G5" s="15" t="s">
        <v>3</v>
      </c>
      <c r="H5" s="15"/>
      <c r="I5" s="15"/>
      <c r="J5" s="15"/>
      <c r="K5" s="15"/>
      <c r="L5" s="15"/>
      <c r="M5" s="15"/>
      <c r="N5" s="15"/>
    </row>
    <row r="6" spans="1:14" ht="24" customHeight="1">
      <c r="A6" s="2" t="s">
        <v>4</v>
      </c>
      <c r="B6" s="8">
        <v>13.13</v>
      </c>
      <c r="G6" s="16" t="s">
        <v>5</v>
      </c>
      <c r="H6" s="16"/>
      <c r="I6" s="16"/>
      <c r="J6" s="16"/>
      <c r="K6" s="16"/>
      <c r="L6" s="16"/>
      <c r="M6" s="16"/>
      <c r="N6" s="16"/>
    </row>
    <row r="7" spans="1:14" ht="24" customHeight="1">
      <c r="A7" s="2" t="s">
        <v>6</v>
      </c>
      <c r="B7" s="9">
        <f>SUM(B5:B6)</f>
        <v>26.58</v>
      </c>
      <c r="G7" s="16" t="s">
        <v>7</v>
      </c>
      <c r="H7" s="16"/>
      <c r="I7" s="16"/>
      <c r="J7" s="16"/>
      <c r="K7" s="16"/>
      <c r="L7" s="16"/>
      <c r="M7" s="16"/>
      <c r="N7" s="16"/>
    </row>
    <row r="8" spans="1:14" ht="24" customHeight="1">
      <c r="A8" s="2" t="s">
        <v>8</v>
      </c>
      <c r="B8" s="10">
        <v>4.2577478920000002E-2</v>
      </c>
      <c r="G8" s="16" t="s">
        <v>9</v>
      </c>
      <c r="H8" s="16"/>
      <c r="I8" s="16"/>
      <c r="J8" s="16"/>
      <c r="K8" s="16"/>
      <c r="L8" s="16"/>
      <c r="M8" s="16"/>
      <c r="N8" s="16"/>
    </row>
    <row r="9" spans="1:14" ht="24" customHeight="1">
      <c r="A9" s="2" t="s">
        <v>10</v>
      </c>
      <c r="B9" s="11">
        <v>400</v>
      </c>
      <c r="G9" s="16" t="s">
        <v>11</v>
      </c>
      <c r="H9" s="16"/>
      <c r="I9" s="16"/>
      <c r="J9" s="16"/>
      <c r="K9" s="16"/>
      <c r="L9" s="16"/>
      <c r="M9" s="16"/>
      <c r="N9" s="16"/>
    </row>
    <row r="10" spans="1:14" ht="15">
      <c r="A10" s="2" t="s">
        <v>12</v>
      </c>
      <c r="B10" s="12">
        <v>100</v>
      </c>
    </row>
    <row r="11" spans="1:14" ht="15">
      <c r="A11" s="2" t="s">
        <v>13</v>
      </c>
      <c r="B11" s="13">
        <f>B9/(B10-1)</f>
        <v>4.0404040404040407</v>
      </c>
      <c r="G11" s="17" t="s">
        <v>14</v>
      </c>
      <c r="H11" s="17"/>
      <c r="I11" s="17"/>
      <c r="J11" s="17"/>
      <c r="K11" s="17"/>
      <c r="L11" s="17"/>
      <c r="M11" s="17"/>
      <c r="N11" s="17"/>
    </row>
    <row r="12" spans="1:14">
      <c r="G12" t="s">
        <v>15</v>
      </c>
      <c r="H12" s="3">
        <v>392.67</v>
      </c>
      <c r="I12" t="s">
        <v>16</v>
      </c>
      <c r="J12" s="6">
        <f>1/(2*PI()*SQRT(($B$7/1000)*(H12/1000000000)))</f>
        <v>1557.8612760073265</v>
      </c>
      <c r="K12" t="s">
        <v>17</v>
      </c>
      <c r="L12" s="7">
        <f>J12/$B$8</f>
        <v>36588.856727154627</v>
      </c>
    </row>
    <row r="14" spans="1:14" ht="29.1" customHeight="1">
      <c r="A14" s="4" t="s">
        <v>18</v>
      </c>
      <c r="B14" s="4" t="s">
        <v>19</v>
      </c>
      <c r="C14" s="4" t="s">
        <v>16</v>
      </c>
      <c r="D14" s="4" t="s">
        <v>20</v>
      </c>
      <c r="E14" s="4" t="s">
        <v>21</v>
      </c>
    </row>
    <row r="15" spans="1:14" ht="20.100000000000001" customHeight="1">
      <c r="A15">
        <v>1</v>
      </c>
      <c r="B15" s="5">
        <f t="shared" ref="B15:B46" si="0">(A15-1)*$B$11</f>
        <v>0</v>
      </c>
      <c r="C15" s="6" t="str">
        <f t="shared" ref="C15:C46" si="1">IF(B15=0,"",1/(2*PI()*SQRT(($B$7/1000)*(B15/1000000000))))</f>
        <v/>
      </c>
      <c r="D15" s="7" t="str">
        <f t="shared" ref="D15:D46" si="2">IF(C15="","",C15/$B$8)</f>
        <v/>
      </c>
      <c r="E15" s="5" t="str">
        <f t="shared" ref="E15:E46" si="3">IF(D15="","",D15/1000)</f>
        <v/>
      </c>
    </row>
    <row r="16" spans="1:14" ht="20.100000000000001" customHeight="1">
      <c r="A16">
        <v>2</v>
      </c>
      <c r="B16" s="5">
        <f t="shared" si="0"/>
        <v>4.0404040404040407</v>
      </c>
      <c r="C16" s="6">
        <f t="shared" si="1"/>
        <v>15357.843756722281</v>
      </c>
      <c r="D16" s="7">
        <f t="shared" si="2"/>
        <v>360703.45511951414</v>
      </c>
      <c r="E16" s="5">
        <f t="shared" si="3"/>
        <v>360.70345511951416</v>
      </c>
    </row>
    <row r="17" spans="1:5" ht="20.100000000000001" customHeight="1">
      <c r="A17">
        <v>3</v>
      </c>
      <c r="B17" s="5">
        <f t="shared" si="0"/>
        <v>8.0808080808080813</v>
      </c>
      <c r="C17" s="6">
        <f t="shared" si="1"/>
        <v>10859.635464781806</v>
      </c>
      <c r="D17" s="7">
        <f t="shared" si="2"/>
        <v>255055.85911242594</v>
      </c>
      <c r="E17" s="5">
        <f t="shared" si="3"/>
        <v>255.05585911242594</v>
      </c>
    </row>
    <row r="18" spans="1:5" ht="20.100000000000001" customHeight="1">
      <c r="A18">
        <v>4</v>
      </c>
      <c r="B18" s="5">
        <f t="shared" si="0"/>
        <v>12.121212121212121</v>
      </c>
      <c r="C18" s="6">
        <f t="shared" si="1"/>
        <v>8866.8552271158223</v>
      </c>
      <c r="D18" s="7">
        <f t="shared" si="2"/>
        <v>208252.23691087961</v>
      </c>
      <c r="E18" s="5">
        <f t="shared" si="3"/>
        <v>208.25223691087962</v>
      </c>
    </row>
    <row r="19" spans="1:5" ht="20.100000000000001" customHeight="1">
      <c r="A19">
        <v>5</v>
      </c>
      <c r="B19" s="5">
        <f t="shared" si="0"/>
        <v>16.161616161616163</v>
      </c>
      <c r="C19" s="6">
        <f t="shared" si="1"/>
        <v>7678.9218783611404</v>
      </c>
      <c r="D19" s="7">
        <f t="shared" si="2"/>
        <v>180351.72755975707</v>
      </c>
      <c r="E19" s="5">
        <f t="shared" si="3"/>
        <v>180.35172755975708</v>
      </c>
    </row>
    <row r="20" spans="1:5" ht="20.100000000000001" customHeight="1">
      <c r="A20">
        <v>6</v>
      </c>
      <c r="B20" s="5">
        <f t="shared" si="0"/>
        <v>20.202020202020204</v>
      </c>
      <c r="C20" s="6">
        <f t="shared" si="1"/>
        <v>6868.2365255703517</v>
      </c>
      <c r="D20" s="7">
        <f t="shared" si="2"/>
        <v>161311.48907325562</v>
      </c>
      <c r="E20" s="5">
        <f t="shared" si="3"/>
        <v>161.31148907325561</v>
      </c>
    </row>
    <row r="21" spans="1:5" ht="20.100000000000001" customHeight="1">
      <c r="A21">
        <v>7</v>
      </c>
      <c r="B21" s="5">
        <f t="shared" si="0"/>
        <v>24.242424242424242</v>
      </c>
      <c r="C21" s="6">
        <f t="shared" si="1"/>
        <v>6269.8134588929815</v>
      </c>
      <c r="D21" s="7">
        <f t="shared" si="2"/>
        <v>147256.56891695037</v>
      </c>
      <c r="E21" s="5">
        <f t="shared" si="3"/>
        <v>147.25656891695039</v>
      </c>
    </row>
    <row r="22" spans="1:5" ht="20.100000000000001" customHeight="1">
      <c r="A22">
        <v>8</v>
      </c>
      <c r="B22" s="5">
        <f t="shared" si="0"/>
        <v>28.282828282828284</v>
      </c>
      <c r="C22" s="6">
        <f t="shared" si="1"/>
        <v>5804.7193220675872</v>
      </c>
      <c r="D22" s="7">
        <f t="shared" si="2"/>
        <v>136333.0913268546</v>
      </c>
      <c r="E22" s="5">
        <f t="shared" si="3"/>
        <v>136.3330913268546</v>
      </c>
    </row>
    <row r="23" spans="1:5" ht="20.100000000000001" customHeight="1">
      <c r="A23">
        <v>9</v>
      </c>
      <c r="B23" s="5">
        <f t="shared" si="0"/>
        <v>32.323232323232325</v>
      </c>
      <c r="C23" s="6">
        <f t="shared" si="1"/>
        <v>5429.8177323909031</v>
      </c>
      <c r="D23" s="7">
        <f t="shared" si="2"/>
        <v>127527.92955621297</v>
      </c>
      <c r="E23" s="5">
        <f t="shared" si="3"/>
        <v>127.52792955621297</v>
      </c>
    </row>
    <row r="24" spans="1:5" ht="20.100000000000001" customHeight="1">
      <c r="A24">
        <v>10</v>
      </c>
      <c r="B24" s="5">
        <f t="shared" si="0"/>
        <v>36.363636363636367</v>
      </c>
      <c r="C24" s="6">
        <f t="shared" si="1"/>
        <v>5119.2812522407603</v>
      </c>
      <c r="D24" s="7">
        <f t="shared" si="2"/>
        <v>120234.48503983805</v>
      </c>
      <c r="E24" s="5">
        <f t="shared" si="3"/>
        <v>120.23448503983805</v>
      </c>
    </row>
    <row r="25" spans="1:5" ht="20.100000000000001" customHeight="1">
      <c r="A25">
        <v>11</v>
      </c>
      <c r="B25" s="5">
        <f t="shared" si="0"/>
        <v>40.404040404040408</v>
      </c>
      <c r="C25" s="6">
        <f t="shared" si="1"/>
        <v>4856.5766220239284</v>
      </c>
      <c r="D25" s="7">
        <f t="shared" si="2"/>
        <v>114064.44780699872</v>
      </c>
      <c r="E25" s="5">
        <f t="shared" si="3"/>
        <v>114.06444780699873</v>
      </c>
    </row>
    <row r="26" spans="1:5" ht="20.100000000000001" customHeight="1">
      <c r="A26">
        <v>12</v>
      </c>
      <c r="B26" s="5">
        <f t="shared" si="0"/>
        <v>44.44444444444445</v>
      </c>
      <c r="C26" s="6">
        <f t="shared" si="1"/>
        <v>4630.5641209045471</v>
      </c>
      <c r="D26" s="7">
        <f t="shared" si="2"/>
        <v>108756.18374692972</v>
      </c>
      <c r="E26" s="5">
        <f t="shared" si="3"/>
        <v>108.75618374692972</v>
      </c>
    </row>
    <row r="27" spans="1:5" ht="20.100000000000001" customHeight="1">
      <c r="A27">
        <v>13</v>
      </c>
      <c r="B27" s="5">
        <f t="shared" si="0"/>
        <v>48.484848484848484</v>
      </c>
      <c r="C27" s="6">
        <f t="shared" si="1"/>
        <v>4433.4276135579112</v>
      </c>
      <c r="D27" s="7">
        <f t="shared" si="2"/>
        <v>104126.11845543981</v>
      </c>
      <c r="E27" s="5">
        <f t="shared" si="3"/>
        <v>104.12611845543981</v>
      </c>
    </row>
    <row r="28" spans="1:5" ht="20.100000000000001" customHeight="1">
      <c r="A28">
        <v>14</v>
      </c>
      <c r="B28" s="5">
        <f t="shared" si="0"/>
        <v>52.525252525252526</v>
      </c>
      <c r="C28" s="6">
        <f t="shared" si="1"/>
        <v>4259.4994727251296</v>
      </c>
      <c r="D28" s="7">
        <f t="shared" si="2"/>
        <v>100041.13866695632</v>
      </c>
      <c r="E28" s="5">
        <f t="shared" si="3"/>
        <v>100.04113866695633</v>
      </c>
    </row>
    <row r="29" spans="1:5" ht="20.100000000000001" customHeight="1">
      <c r="A29">
        <v>15</v>
      </c>
      <c r="B29" s="5">
        <f t="shared" si="0"/>
        <v>56.565656565656568</v>
      </c>
      <c r="C29" s="6">
        <f t="shared" si="1"/>
        <v>4104.5563955185698</v>
      </c>
      <c r="D29" s="7">
        <f t="shared" si="2"/>
        <v>96402.053377343778</v>
      </c>
      <c r="E29" s="5">
        <f t="shared" si="3"/>
        <v>96.402053377343776</v>
      </c>
    </row>
    <row r="30" spans="1:5" ht="20.100000000000001" customHeight="1">
      <c r="A30">
        <v>16</v>
      </c>
      <c r="B30" s="5">
        <f t="shared" si="0"/>
        <v>60.606060606060609</v>
      </c>
      <c r="C30" s="6">
        <f t="shared" si="1"/>
        <v>3965.3782068960631</v>
      </c>
      <c r="D30" s="7">
        <f t="shared" si="2"/>
        <v>93133.231639823527</v>
      </c>
      <c r="E30" s="5">
        <f t="shared" si="3"/>
        <v>93.133231639823521</v>
      </c>
    </row>
    <row r="31" spans="1:5" ht="20.100000000000001" customHeight="1">
      <c r="A31">
        <v>17</v>
      </c>
      <c r="B31" s="5">
        <f t="shared" si="0"/>
        <v>64.646464646464651</v>
      </c>
      <c r="C31" s="6">
        <f t="shared" si="1"/>
        <v>3839.4609391805702</v>
      </c>
      <c r="D31" s="7">
        <f t="shared" si="2"/>
        <v>90175.863779878535</v>
      </c>
      <c r="E31" s="5">
        <f t="shared" si="3"/>
        <v>90.17586377987854</v>
      </c>
    </row>
    <row r="32" spans="1:5" ht="20.100000000000001" customHeight="1">
      <c r="A32">
        <v>18</v>
      </c>
      <c r="B32" s="5">
        <f t="shared" si="0"/>
        <v>68.686868686868692</v>
      </c>
      <c r="C32" s="6">
        <f t="shared" si="1"/>
        <v>3724.8242347469827</v>
      </c>
      <c r="D32" s="7">
        <f t="shared" si="2"/>
        <v>87483.437940176256</v>
      </c>
      <c r="E32" s="5">
        <f t="shared" si="3"/>
        <v>87.483437940176259</v>
      </c>
    </row>
    <row r="33" spans="1:5" ht="20.100000000000001" customHeight="1">
      <c r="A33">
        <v>19</v>
      </c>
      <c r="B33" s="5">
        <f t="shared" si="0"/>
        <v>72.727272727272734</v>
      </c>
      <c r="C33" s="6">
        <f t="shared" si="1"/>
        <v>3619.8784882606019</v>
      </c>
      <c r="D33" s="7">
        <f t="shared" si="2"/>
        <v>85018.61970414198</v>
      </c>
      <c r="E33" s="5">
        <f t="shared" si="3"/>
        <v>85.018619704141983</v>
      </c>
    </row>
    <row r="34" spans="1:5" ht="20.100000000000001" customHeight="1">
      <c r="A34">
        <v>20</v>
      </c>
      <c r="B34" s="5">
        <f t="shared" si="0"/>
        <v>76.767676767676775</v>
      </c>
      <c r="C34" s="6">
        <f t="shared" si="1"/>
        <v>3523.330996117867</v>
      </c>
      <c r="D34" s="7">
        <f t="shared" si="2"/>
        <v>82751.047865890578</v>
      </c>
      <c r="E34" s="5">
        <f t="shared" si="3"/>
        <v>82.751047865890584</v>
      </c>
    </row>
    <row r="35" spans="1:5" ht="20.100000000000001" customHeight="1">
      <c r="A35">
        <v>21</v>
      </c>
      <c r="B35" s="5">
        <f t="shared" si="0"/>
        <v>80.808080808080817</v>
      </c>
      <c r="C35" s="6">
        <f t="shared" si="1"/>
        <v>3434.1182627851758</v>
      </c>
      <c r="D35" s="7">
        <f t="shared" si="2"/>
        <v>80655.744536627812</v>
      </c>
      <c r="E35" s="5">
        <f t="shared" si="3"/>
        <v>80.655744536627807</v>
      </c>
    </row>
    <row r="36" spans="1:5" ht="20.100000000000001" customHeight="1">
      <c r="A36">
        <v>22</v>
      </c>
      <c r="B36" s="5">
        <f t="shared" si="0"/>
        <v>84.848484848484858</v>
      </c>
      <c r="C36" s="6">
        <f t="shared" si="1"/>
        <v>3351.3562631659433</v>
      </c>
      <c r="D36" s="7">
        <f t="shared" si="2"/>
        <v>78711.946977013344</v>
      </c>
      <c r="E36" s="5">
        <f t="shared" si="3"/>
        <v>78.711946977013341</v>
      </c>
    </row>
    <row r="37" spans="1:5" ht="20.100000000000001" customHeight="1">
      <c r="A37">
        <v>23</v>
      </c>
      <c r="B37" s="5">
        <f t="shared" si="0"/>
        <v>88.8888888888889</v>
      </c>
      <c r="C37" s="6">
        <f t="shared" si="1"/>
        <v>3274.3032906107296</v>
      </c>
      <c r="D37" s="7">
        <f t="shared" si="2"/>
        <v>76902.235023424204</v>
      </c>
      <c r="E37" s="5">
        <f t="shared" si="3"/>
        <v>76.902235023424197</v>
      </c>
    </row>
    <row r="38" spans="1:5" ht="20.100000000000001" customHeight="1">
      <c r="A38">
        <v>24</v>
      </c>
      <c r="B38" s="5">
        <f t="shared" si="0"/>
        <v>92.929292929292941</v>
      </c>
      <c r="C38" s="6">
        <f t="shared" si="1"/>
        <v>3202.3317921130497</v>
      </c>
      <c r="D38" s="7">
        <f t="shared" si="2"/>
        <v>75211.869592607851</v>
      </c>
      <c r="E38" s="5">
        <f t="shared" si="3"/>
        <v>75.211869592607854</v>
      </c>
    </row>
    <row r="39" spans="1:5" ht="20.100000000000001" customHeight="1">
      <c r="A39">
        <v>25</v>
      </c>
      <c r="B39" s="5">
        <f t="shared" si="0"/>
        <v>96.969696969696969</v>
      </c>
      <c r="C39" s="6">
        <f t="shared" si="1"/>
        <v>3134.9067294464908</v>
      </c>
      <c r="D39" s="7">
        <f t="shared" si="2"/>
        <v>73628.284458475187</v>
      </c>
      <c r="E39" s="5">
        <f t="shared" si="3"/>
        <v>73.628284458475193</v>
      </c>
    </row>
    <row r="40" spans="1:5" ht="20.100000000000001" customHeight="1">
      <c r="A40">
        <v>26</v>
      </c>
      <c r="B40" s="5">
        <f t="shared" si="0"/>
        <v>101.01010101010101</v>
      </c>
      <c r="C40" s="6">
        <f t="shared" si="1"/>
        <v>3071.5687513444564</v>
      </c>
      <c r="D40" s="7">
        <f t="shared" si="2"/>
        <v>72140.691023902837</v>
      </c>
      <c r="E40" s="5">
        <f t="shared" si="3"/>
        <v>72.140691023902832</v>
      </c>
    </row>
    <row r="41" spans="1:5" ht="20.100000000000001" customHeight="1">
      <c r="A41">
        <v>27</v>
      </c>
      <c r="B41" s="5">
        <f t="shared" si="0"/>
        <v>105.05050505050505</v>
      </c>
      <c r="C41" s="6">
        <f t="shared" si="1"/>
        <v>3011.920961624463</v>
      </c>
      <c r="D41" s="7">
        <f t="shared" si="2"/>
        <v>70739.767549028547</v>
      </c>
      <c r="E41" s="5">
        <f t="shared" si="3"/>
        <v>70.739767549028542</v>
      </c>
    </row>
    <row r="42" spans="1:5" ht="20.100000000000001" customHeight="1">
      <c r="A42">
        <v>28</v>
      </c>
      <c r="B42" s="5">
        <f t="shared" si="0"/>
        <v>109.09090909090909</v>
      </c>
      <c r="C42" s="6">
        <f t="shared" si="1"/>
        <v>2955.6184090386078</v>
      </c>
      <c r="D42" s="7">
        <f t="shared" si="2"/>
        <v>69417.412303626537</v>
      </c>
      <c r="E42" s="5">
        <f t="shared" si="3"/>
        <v>69.417412303626534</v>
      </c>
    </row>
    <row r="43" spans="1:5" ht="20.100000000000001" customHeight="1">
      <c r="A43">
        <v>29</v>
      </c>
      <c r="B43" s="5">
        <f t="shared" si="0"/>
        <v>113.13131313131314</v>
      </c>
      <c r="C43" s="6">
        <f t="shared" si="1"/>
        <v>2902.3596610337936</v>
      </c>
      <c r="D43" s="7">
        <f t="shared" si="2"/>
        <v>68166.5456634273</v>
      </c>
      <c r="E43" s="5">
        <f t="shared" si="3"/>
        <v>68.1665456634273</v>
      </c>
    </row>
    <row r="44" spans="1:5" ht="20.100000000000001" customHeight="1">
      <c r="A44">
        <v>30</v>
      </c>
      <c r="B44" s="5">
        <f t="shared" si="0"/>
        <v>117.17171717171718</v>
      </c>
      <c r="C44" s="6">
        <f t="shared" si="1"/>
        <v>2851.8799900748681</v>
      </c>
      <c r="D44" s="7">
        <f t="shared" si="2"/>
        <v>66980.950080049224</v>
      </c>
      <c r="E44" s="5">
        <f t="shared" si="3"/>
        <v>66.980950080049226</v>
      </c>
    </row>
    <row r="45" spans="1:5" ht="20.100000000000001" customHeight="1">
      <c r="A45">
        <v>31</v>
      </c>
      <c r="B45" s="5">
        <f t="shared" si="0"/>
        <v>121.21212121212122</v>
      </c>
      <c r="C45" s="6">
        <f t="shared" si="1"/>
        <v>2803.9458200655586</v>
      </c>
      <c r="D45" s="7">
        <f t="shared" si="2"/>
        <v>65855.139646336727</v>
      </c>
      <c r="E45" s="5">
        <f t="shared" si="3"/>
        <v>65.855139646336724</v>
      </c>
    </row>
    <row r="46" spans="1:5" ht="20.100000000000001" customHeight="1">
      <c r="A46">
        <v>32</v>
      </c>
      <c r="B46" s="5">
        <f t="shared" si="0"/>
        <v>125.25252525252526</v>
      </c>
      <c r="C46" s="6">
        <f t="shared" si="1"/>
        <v>2758.3501664061246</v>
      </c>
      <c r="D46" s="7">
        <f t="shared" si="2"/>
        <v>64784.252998841584</v>
      </c>
      <c r="E46" s="5">
        <f t="shared" si="3"/>
        <v>64.784252998841581</v>
      </c>
    </row>
    <row r="47" spans="1:5" ht="20.100000000000001" customHeight="1">
      <c r="A47">
        <v>33</v>
      </c>
      <c r="B47" s="5">
        <f t="shared" ref="B47:B78" si="4">(A47-1)*$B$11</f>
        <v>129.2929292929293</v>
      </c>
      <c r="C47" s="6">
        <f t="shared" ref="C47:C78" si="5">IF(B47=0,"",1/(2*PI()*SQRT(($B$7/1000)*(B47/1000000000))))</f>
        <v>2714.9088661954515</v>
      </c>
      <c r="D47" s="7">
        <f t="shared" ref="D47:D78" si="6">IF(C47="","",C47/$B$8)</f>
        <v>63763.964778106485</v>
      </c>
      <c r="E47" s="5">
        <f t="shared" ref="E47:E78" si="7">IF(D47="","",D47/1000)</f>
        <v>63.763964778106484</v>
      </c>
    </row>
    <row r="48" spans="1:5" ht="20.100000000000001" customHeight="1">
      <c r="A48">
        <v>34</v>
      </c>
      <c r="B48" s="5">
        <f t="shared" si="4"/>
        <v>133.33333333333334</v>
      </c>
      <c r="C48" s="6">
        <f t="shared" si="5"/>
        <v>2673.4574417040631</v>
      </c>
      <c r="D48" s="7">
        <f t="shared" si="6"/>
        <v>62790.411962326281</v>
      </c>
      <c r="E48" s="5">
        <f t="shared" si="7"/>
        <v>62.790411962326282</v>
      </c>
    </row>
    <row r="49" spans="1:5" ht="20.100000000000001" customHeight="1">
      <c r="A49">
        <v>35</v>
      </c>
      <c r="B49" s="5">
        <f t="shared" si="4"/>
        <v>137.37373737373738</v>
      </c>
      <c r="C49" s="6">
        <f t="shared" si="5"/>
        <v>2633.8484751175838</v>
      </c>
      <c r="D49" s="7">
        <f t="shared" si="6"/>
        <v>61860.132209011113</v>
      </c>
      <c r="E49" s="5">
        <f t="shared" si="7"/>
        <v>61.860132209011113</v>
      </c>
    </row>
    <row r="50" spans="1:5" ht="20.100000000000001" customHeight="1">
      <c r="A50">
        <v>36</v>
      </c>
      <c r="B50" s="5">
        <f t="shared" si="4"/>
        <v>141.41414141414143</v>
      </c>
      <c r="C50" s="6">
        <f t="shared" si="5"/>
        <v>2595.9493988899239</v>
      </c>
      <c r="D50" s="7">
        <f t="shared" si="6"/>
        <v>60970.011957906783</v>
      </c>
      <c r="E50" s="5">
        <f t="shared" si="7"/>
        <v>60.970011957906785</v>
      </c>
    </row>
    <row r="51" spans="1:5" ht="20.100000000000001" customHeight="1">
      <c r="A51">
        <v>37</v>
      </c>
      <c r="B51" s="5">
        <f t="shared" si="4"/>
        <v>145.45454545454547</v>
      </c>
      <c r="C51" s="6">
        <f t="shared" si="5"/>
        <v>2559.6406261203801</v>
      </c>
      <c r="D51" s="7">
        <f t="shared" si="6"/>
        <v>60117.242519919026</v>
      </c>
      <c r="E51" s="5">
        <f t="shared" si="7"/>
        <v>60.117242519919024</v>
      </c>
    </row>
    <row r="52" spans="1:5" ht="20.100000000000001" customHeight="1">
      <c r="A52">
        <v>38</v>
      </c>
      <c r="B52" s="5">
        <f t="shared" si="4"/>
        <v>149.49494949494951</v>
      </c>
      <c r="C52" s="6">
        <f t="shared" si="5"/>
        <v>2524.813960799047</v>
      </c>
      <c r="D52" s="7">
        <f t="shared" si="6"/>
        <v>59299.28273919152</v>
      </c>
      <c r="E52" s="5">
        <f t="shared" si="7"/>
        <v>59.299282739191518</v>
      </c>
    </row>
    <row r="53" spans="1:5" ht="20.100000000000001" customHeight="1">
      <c r="A53">
        <v>39</v>
      </c>
      <c r="B53" s="5">
        <f t="shared" si="4"/>
        <v>153.53535353535355</v>
      </c>
      <c r="C53" s="6">
        <f t="shared" si="5"/>
        <v>2491.3712397196973</v>
      </c>
      <c r="D53" s="7">
        <f t="shared" si="6"/>
        <v>58513.827096263813</v>
      </c>
      <c r="E53" s="5">
        <f t="shared" si="7"/>
        <v>58.51382709626381</v>
      </c>
    </row>
    <row r="54" spans="1:5" ht="20.100000000000001" customHeight="1">
      <c r="A54">
        <v>40</v>
      </c>
      <c r="B54" s="5">
        <f t="shared" si="4"/>
        <v>157.57575757575759</v>
      </c>
      <c r="C54" s="6">
        <f t="shared" si="5"/>
        <v>2459.2231671909226</v>
      </c>
      <c r="D54" s="7">
        <f t="shared" si="6"/>
        <v>57758.778339403907</v>
      </c>
      <c r="E54" s="5">
        <f t="shared" si="7"/>
        <v>57.758778339403904</v>
      </c>
    </row>
    <row r="55" spans="1:5" ht="20.100000000000001" customHeight="1">
      <c r="A55">
        <v>41</v>
      </c>
      <c r="B55" s="5">
        <f t="shared" si="4"/>
        <v>161.61616161616163</v>
      </c>
      <c r="C55" s="6">
        <f t="shared" si="5"/>
        <v>2428.2883110119642</v>
      </c>
      <c r="D55" s="7">
        <f t="shared" si="6"/>
        <v>57032.223903499362</v>
      </c>
      <c r="E55" s="5">
        <f t="shared" si="7"/>
        <v>57.032223903499364</v>
      </c>
    </row>
    <row r="56" spans="1:5" ht="20.100000000000001" customHeight="1">
      <c r="A56">
        <v>42</v>
      </c>
      <c r="B56" s="5">
        <f t="shared" si="4"/>
        <v>165.65656565656568</v>
      </c>
      <c r="C56" s="6">
        <f t="shared" si="5"/>
        <v>2398.4922339847608</v>
      </c>
      <c r="D56" s="7">
        <f t="shared" si="6"/>
        <v>56332.41551223251</v>
      </c>
      <c r="E56" s="5">
        <f t="shared" si="7"/>
        <v>56.332415512232508</v>
      </c>
    </row>
    <row r="57" spans="1:5" ht="20.100000000000001" customHeight="1">
      <c r="A57">
        <v>43</v>
      </c>
      <c r="B57" s="5">
        <f t="shared" si="4"/>
        <v>169.69696969696972</v>
      </c>
      <c r="C57" s="6">
        <f t="shared" si="5"/>
        <v>2369.7667398566464</v>
      </c>
      <c r="D57" s="7">
        <f t="shared" si="6"/>
        <v>55657.751467842107</v>
      </c>
      <c r="E57" s="5">
        <f t="shared" si="7"/>
        <v>55.657751467842104</v>
      </c>
    </row>
    <row r="58" spans="1:5" ht="20.100000000000001" customHeight="1">
      <c r="A58">
        <v>44</v>
      </c>
      <c r="B58" s="5">
        <f t="shared" si="4"/>
        <v>173.73737373737376</v>
      </c>
      <c r="C58" s="6">
        <f t="shared" si="5"/>
        <v>2342.0492162916662</v>
      </c>
      <c r="D58" s="7">
        <f t="shared" si="6"/>
        <v>55006.761219756743</v>
      </c>
      <c r="E58" s="5">
        <f t="shared" si="7"/>
        <v>55.00676121975674</v>
      </c>
    </row>
    <row r="59" spans="1:5" ht="20.100000000000001" customHeight="1">
      <c r="A59">
        <v>45</v>
      </c>
      <c r="B59" s="5">
        <f t="shared" si="4"/>
        <v>177.7777777777778</v>
      </c>
      <c r="C59" s="6">
        <f t="shared" si="5"/>
        <v>2315.2820604522735</v>
      </c>
      <c r="D59" s="7">
        <f t="shared" si="6"/>
        <v>54378.091873464859</v>
      </c>
      <c r="E59" s="5">
        <f t="shared" si="7"/>
        <v>54.378091873464861</v>
      </c>
    </row>
    <row r="60" spans="1:5" ht="20.100000000000001" customHeight="1">
      <c r="A60">
        <v>46</v>
      </c>
      <c r="B60" s="5">
        <f t="shared" si="4"/>
        <v>181.81818181818184</v>
      </c>
      <c r="C60" s="6">
        <f t="shared" si="5"/>
        <v>2289.4121751901175</v>
      </c>
      <c r="D60" s="7">
        <f t="shared" si="6"/>
        <v>53770.496357751879</v>
      </c>
      <c r="E60" s="5">
        <f t="shared" si="7"/>
        <v>53.770496357751881</v>
      </c>
    </row>
    <row r="61" spans="1:5" ht="20.100000000000001" customHeight="1">
      <c r="A61">
        <v>47</v>
      </c>
      <c r="B61" s="5">
        <f t="shared" si="4"/>
        <v>185.85858585858588</v>
      </c>
      <c r="C61" s="6">
        <f t="shared" si="5"/>
        <v>2264.3905258124073</v>
      </c>
      <c r="D61" s="7">
        <f t="shared" si="6"/>
        <v>53182.823014651316</v>
      </c>
      <c r="E61" s="5">
        <f t="shared" si="7"/>
        <v>53.182823014651319</v>
      </c>
    </row>
    <row r="62" spans="1:5" ht="20.100000000000001" customHeight="1">
      <c r="A62">
        <v>48</v>
      </c>
      <c r="B62" s="5">
        <f t="shared" si="4"/>
        <v>189.89898989898992</v>
      </c>
      <c r="C62" s="6">
        <f t="shared" si="5"/>
        <v>2240.1717490002879</v>
      </c>
      <c r="D62" s="7">
        <f t="shared" si="6"/>
        <v>52614.006414269112</v>
      </c>
      <c r="E62" s="5">
        <f t="shared" si="7"/>
        <v>52.614006414269113</v>
      </c>
    </row>
    <row r="63" spans="1:5" ht="20.100000000000001" customHeight="1">
      <c r="A63">
        <v>49</v>
      </c>
      <c r="B63" s="5">
        <f t="shared" si="4"/>
        <v>193.93939393939394</v>
      </c>
      <c r="C63" s="6">
        <f t="shared" si="5"/>
        <v>2216.7138067789556</v>
      </c>
      <c r="D63" s="7">
        <f t="shared" si="6"/>
        <v>52063.059227719903</v>
      </c>
      <c r="E63" s="5">
        <f t="shared" si="7"/>
        <v>52.063059227719904</v>
      </c>
    </row>
    <row r="64" spans="1:5" ht="20.100000000000001" customHeight="1">
      <c r="A64">
        <v>50</v>
      </c>
      <c r="B64" s="5">
        <f t="shared" si="4"/>
        <v>197.97979797979798</v>
      </c>
      <c r="C64" s="6">
        <f t="shared" si="5"/>
        <v>2193.9776795317539</v>
      </c>
      <c r="D64" s="7">
        <f t="shared" si="6"/>
        <v>51529.065017073437</v>
      </c>
      <c r="E64" s="5">
        <f t="shared" si="7"/>
        <v>51.529065017073435</v>
      </c>
    </row>
    <row r="65" spans="1:5" ht="20.100000000000001" customHeight="1">
      <c r="A65">
        <v>51</v>
      </c>
      <c r="B65" s="5">
        <f t="shared" si="4"/>
        <v>202.02020202020202</v>
      </c>
      <c r="C65" s="6">
        <f t="shared" si="5"/>
        <v>2171.9270929563618</v>
      </c>
      <c r="D65" s="7">
        <f t="shared" si="6"/>
        <v>51011.171822485201</v>
      </c>
      <c r="E65" s="5">
        <f t="shared" si="7"/>
        <v>51.011171822485203</v>
      </c>
    </row>
    <row r="66" spans="1:5" ht="20.100000000000001" customHeight="1">
      <c r="A66">
        <v>52</v>
      </c>
      <c r="B66" s="5">
        <f t="shared" si="4"/>
        <v>206.06060606060606</v>
      </c>
      <c r="C66" s="6">
        <f t="shared" si="5"/>
        <v>2150.5282746152125</v>
      </c>
      <c r="D66" s="7">
        <f t="shared" si="6"/>
        <v>50508.586444394685</v>
      </c>
      <c r="E66" s="5">
        <f t="shared" si="7"/>
        <v>50.508586444394687</v>
      </c>
    </row>
    <row r="67" spans="1:5" ht="20.100000000000001" customHeight="1">
      <c r="A67">
        <v>53</v>
      </c>
      <c r="B67" s="5">
        <f t="shared" si="4"/>
        <v>210.1010101010101</v>
      </c>
      <c r="C67" s="6">
        <f t="shared" si="5"/>
        <v>2129.7497363625648</v>
      </c>
      <c r="D67" s="7">
        <f t="shared" si="6"/>
        <v>50020.569333478161</v>
      </c>
      <c r="E67" s="5">
        <f t="shared" si="7"/>
        <v>50.020569333478164</v>
      </c>
    </row>
    <row r="68" spans="1:5" ht="20.100000000000001" customHeight="1">
      <c r="A68">
        <v>54</v>
      </c>
      <c r="B68" s="5">
        <f t="shared" si="4"/>
        <v>214.14141414141415</v>
      </c>
      <c r="C68" s="6">
        <f t="shared" si="5"/>
        <v>2109.5620794592255</v>
      </c>
      <c r="D68" s="7">
        <f t="shared" si="6"/>
        <v>49546.430013457109</v>
      </c>
      <c r="E68" s="5">
        <f t="shared" si="7"/>
        <v>49.546430013457112</v>
      </c>
    </row>
    <row r="69" spans="1:5" ht="20.100000000000001" customHeight="1">
      <c r="A69">
        <v>55</v>
      </c>
      <c r="B69" s="5">
        <f t="shared" si="4"/>
        <v>218.18181818181819</v>
      </c>
      <c r="C69" s="6">
        <f t="shared" si="5"/>
        <v>2089.9378196309945</v>
      </c>
      <c r="D69" s="7">
        <f t="shared" si="6"/>
        <v>49085.522972316801</v>
      </c>
      <c r="E69" s="5">
        <f t="shared" si="7"/>
        <v>49.085522972316802</v>
      </c>
    </row>
    <row r="70" spans="1:5" ht="20.100000000000001" customHeight="1">
      <c r="A70">
        <v>56</v>
      </c>
      <c r="B70" s="5">
        <f t="shared" si="4"/>
        <v>222.22222222222223</v>
      </c>
      <c r="C70" s="6">
        <f t="shared" si="5"/>
        <v>2070.8512297028246</v>
      </c>
      <c r="D70" s="7">
        <f t="shared" si="6"/>
        <v>48637.243966318536</v>
      </c>
      <c r="E70" s="5">
        <f t="shared" si="7"/>
        <v>48.637243966318536</v>
      </c>
    </row>
    <row r="71" spans="1:5" ht="20.100000000000001" customHeight="1">
      <c r="A71">
        <v>57</v>
      </c>
      <c r="B71" s="5">
        <f t="shared" si="4"/>
        <v>226.26262626262627</v>
      </c>
      <c r="C71" s="6">
        <f t="shared" si="5"/>
        <v>2052.2781977592849</v>
      </c>
      <c r="D71" s="7">
        <f t="shared" si="6"/>
        <v>48201.026688671889</v>
      </c>
      <c r="E71" s="5">
        <f t="shared" si="7"/>
        <v>48.201026688671888</v>
      </c>
    </row>
    <row r="72" spans="1:5" ht="20.100000000000001" customHeight="1">
      <c r="A72">
        <v>58</v>
      </c>
      <c r="B72" s="5">
        <f t="shared" si="4"/>
        <v>230.30303030303031</v>
      </c>
      <c r="C72" s="6">
        <f t="shared" si="5"/>
        <v>2034.1960990528025</v>
      </c>
      <c r="D72" s="7">
        <f t="shared" si="6"/>
        <v>47776.339761095522</v>
      </c>
      <c r="E72" s="5">
        <f t="shared" si="7"/>
        <v>47.776339761095521</v>
      </c>
    </row>
    <row r="73" spans="1:5" ht="20.100000000000001" customHeight="1">
      <c r="A73">
        <v>59</v>
      </c>
      <c r="B73" s="5">
        <f t="shared" si="4"/>
        <v>234.34343434343435</v>
      </c>
      <c r="C73" s="6">
        <f t="shared" si="5"/>
        <v>2016.5836801121632</v>
      </c>
      <c r="D73" s="7">
        <f t="shared" si="6"/>
        <v>47362.684011920428</v>
      </c>
      <c r="E73" s="5">
        <f t="shared" si="7"/>
        <v>47.362684011920429</v>
      </c>
    </row>
    <row r="74" spans="1:5" ht="20.100000000000001" customHeight="1">
      <c r="A74">
        <v>60</v>
      </c>
      <c r="B74" s="5">
        <f t="shared" si="4"/>
        <v>238.38383838383839</v>
      </c>
      <c r="C74" s="6">
        <f t="shared" si="5"/>
        <v>1999.4209537013185</v>
      </c>
      <c r="D74" s="7">
        <f t="shared" si="6"/>
        <v>46959.59000903002</v>
      </c>
      <c r="E74" s="5">
        <f t="shared" si="7"/>
        <v>46.959590009030023</v>
      </c>
    </row>
    <row r="75" spans="1:5" ht="20.100000000000001" customHeight="1">
      <c r="A75">
        <v>61</v>
      </c>
      <c r="B75" s="5">
        <f t="shared" si="4"/>
        <v>242.42424242424244</v>
      </c>
      <c r="C75" s="6">
        <f t="shared" si="5"/>
        <v>1982.6891034480316</v>
      </c>
      <c r="D75" s="7">
        <f t="shared" si="6"/>
        <v>46566.615819911764</v>
      </c>
      <c r="E75" s="5">
        <f t="shared" si="7"/>
        <v>46.56661581991176</v>
      </c>
    </row>
    <row r="76" spans="1:5" ht="20.100000000000001" customHeight="1">
      <c r="A76">
        <v>62</v>
      </c>
      <c r="B76" s="5">
        <f t="shared" si="4"/>
        <v>246.46464646464648</v>
      </c>
      <c r="C76" s="6">
        <f t="shared" si="5"/>
        <v>1966.3703971076266</v>
      </c>
      <c r="D76" s="7">
        <f t="shared" si="6"/>
        <v>46183.344974517961</v>
      </c>
      <c r="E76" s="5">
        <f t="shared" si="7"/>
        <v>46.183344974517958</v>
      </c>
    </row>
    <row r="77" spans="1:5" ht="20.100000000000001" customHeight="1">
      <c r="A77">
        <v>63</v>
      </c>
      <c r="B77" s="5">
        <f t="shared" si="4"/>
        <v>250.50505050505052</v>
      </c>
      <c r="C77" s="6">
        <f t="shared" si="5"/>
        <v>1950.4481075528122</v>
      </c>
      <c r="D77" s="7">
        <f t="shared" si="6"/>
        <v>45809.38460958581</v>
      </c>
      <c r="E77" s="5">
        <f t="shared" si="7"/>
        <v>45.809384609585813</v>
      </c>
    </row>
    <row r="78" spans="1:5" ht="20.100000000000001" customHeight="1">
      <c r="A78">
        <v>64</v>
      </c>
      <c r="B78" s="5">
        <f t="shared" si="4"/>
        <v>254.54545454545456</v>
      </c>
      <c r="C78" s="6">
        <f t="shared" si="5"/>
        <v>1934.9064406891957</v>
      </c>
      <c r="D78" s="7">
        <f t="shared" si="6"/>
        <v>45444.3637756182</v>
      </c>
      <c r="E78" s="5">
        <f t="shared" si="7"/>
        <v>45.4443637756182</v>
      </c>
    </row>
    <row r="79" spans="1:5" ht="20.100000000000001" customHeight="1">
      <c r="A79">
        <v>65</v>
      </c>
      <c r="B79" s="5">
        <f t="shared" ref="B79:B110" si="8">(A79-1)*$B$11</f>
        <v>258.5858585858586</v>
      </c>
      <c r="C79" s="6">
        <f t="shared" ref="C79:C110" si="9">IF(B79=0,"",1/(2*PI()*SQRT(($B$7/1000)*(B79/1000000000))))</f>
        <v>1919.7304695902851</v>
      </c>
      <c r="D79" s="7">
        <f t="shared" ref="D79:D110" si="10">IF(C79="","",C79/$B$8)</f>
        <v>45087.931889939267</v>
      </c>
      <c r="E79" s="5">
        <f t="shared" ref="E79:E110" si="11">IF(D79="","",D79/1000)</f>
        <v>45.08793188993927</v>
      </c>
    </row>
    <row r="80" spans="1:5" ht="20.100000000000001" customHeight="1">
      <c r="A80">
        <v>66</v>
      </c>
      <c r="B80" s="5">
        <f t="shared" si="8"/>
        <v>262.62626262626264</v>
      </c>
      <c r="C80" s="6">
        <f t="shared" si="9"/>
        <v>1904.9060742275799</v>
      </c>
      <c r="D80" s="7">
        <f t="shared" si="10"/>
        <v>44739.757321159392</v>
      </c>
      <c r="E80" s="5">
        <f t="shared" si="11"/>
        <v>44.739757321159395</v>
      </c>
    </row>
    <row r="81" spans="1:5" ht="20.100000000000001" customHeight="1">
      <c r="A81">
        <v>67</v>
      </c>
      <c r="B81" s="5">
        <f t="shared" si="8"/>
        <v>266.66666666666669</v>
      </c>
      <c r="C81" s="6">
        <f t="shared" si="9"/>
        <v>1890.4198862425822</v>
      </c>
      <c r="D81" s="7">
        <f t="shared" si="10"/>
        <v>44399.526092057829</v>
      </c>
      <c r="E81" s="5">
        <f t="shared" si="11"/>
        <v>44.399526092057826</v>
      </c>
    </row>
    <row r="82" spans="1:5" ht="20.100000000000001" customHeight="1">
      <c r="A82">
        <v>68</v>
      </c>
      <c r="B82" s="5">
        <f t="shared" si="8"/>
        <v>270.70707070707073</v>
      </c>
      <c r="C82" s="6">
        <f t="shared" si="9"/>
        <v>1876.2592382697123</v>
      </c>
      <c r="D82" s="7">
        <f t="shared" si="10"/>
        <v>44066.940689350522</v>
      </c>
      <c r="E82" s="5">
        <f t="shared" si="11"/>
        <v>44.066940689350524</v>
      </c>
    </row>
    <row r="83" spans="1:5" ht="20.100000000000001" customHeight="1">
      <c r="A83">
        <v>69</v>
      </c>
      <c r="B83" s="5">
        <f t="shared" si="8"/>
        <v>274.74747474747477</v>
      </c>
      <c r="C83" s="6">
        <f t="shared" si="9"/>
        <v>1862.4121173734914</v>
      </c>
      <c r="D83" s="7">
        <f t="shared" si="10"/>
        <v>43741.718970088128</v>
      </c>
      <c r="E83" s="5">
        <f t="shared" si="11"/>
        <v>43.741718970088129</v>
      </c>
    </row>
    <row r="84" spans="1:5" ht="20.100000000000001" customHeight="1">
      <c r="A84">
        <v>70</v>
      </c>
      <c r="B84" s="5">
        <f t="shared" si="8"/>
        <v>278.78787878787881</v>
      </c>
      <c r="C84" s="6">
        <f t="shared" si="9"/>
        <v>1848.867122210966</v>
      </c>
      <c r="D84" s="7">
        <f t="shared" si="10"/>
        <v>43423.593155547169</v>
      </c>
      <c r="E84" s="5">
        <f t="shared" si="11"/>
        <v>43.423593155547167</v>
      </c>
    </row>
    <row r="85" spans="1:5" ht="20.100000000000001" customHeight="1">
      <c r="A85">
        <v>71</v>
      </c>
      <c r="B85" s="5">
        <f t="shared" si="8"/>
        <v>282.82828282828285</v>
      </c>
      <c r="C85" s="6">
        <f t="shared" si="9"/>
        <v>1835.613423572207</v>
      </c>
      <c r="D85" s="7">
        <f t="shared" si="10"/>
        <v>43112.308904460777</v>
      </c>
      <c r="E85" s="5">
        <f t="shared" si="11"/>
        <v>43.112308904460775</v>
      </c>
    </row>
    <row r="86" spans="1:5" ht="20.100000000000001" customHeight="1">
      <c r="A86">
        <v>72</v>
      </c>
      <c r="B86" s="5">
        <f t="shared" si="8"/>
        <v>286.86868686868689</v>
      </c>
      <c r="C86" s="6">
        <f t="shared" si="9"/>
        <v>1822.6407279884986</v>
      </c>
      <c r="D86" s="7">
        <f t="shared" si="10"/>
        <v>42807.624458298917</v>
      </c>
      <c r="E86" s="5">
        <f t="shared" si="11"/>
        <v>42.807624458298918</v>
      </c>
    </row>
    <row r="87" spans="1:5" ht="20.100000000000001" customHeight="1">
      <c r="A87">
        <v>73</v>
      </c>
      <c r="B87" s="5">
        <f t="shared" si="8"/>
        <v>290.90909090909093</v>
      </c>
      <c r="C87" s="6">
        <f t="shared" si="9"/>
        <v>1809.9392441303009</v>
      </c>
      <c r="D87" s="7">
        <f t="shared" si="10"/>
        <v>42509.30985207099</v>
      </c>
      <c r="E87" s="5">
        <f t="shared" si="11"/>
        <v>42.509309852070992</v>
      </c>
    </row>
    <row r="88" spans="1:5" ht="20.100000000000001" customHeight="1">
      <c r="A88">
        <v>74</v>
      </c>
      <c r="B88" s="5">
        <f t="shared" si="8"/>
        <v>294.94949494949498</v>
      </c>
      <c r="C88" s="6">
        <f t="shared" si="9"/>
        <v>1797.4996517457073</v>
      </c>
      <c r="D88" s="7">
        <f t="shared" si="10"/>
        <v>42217.146184795929</v>
      </c>
      <c r="E88" s="5">
        <f t="shared" si="11"/>
        <v>42.217146184795929</v>
      </c>
    </row>
    <row r="89" spans="1:5" ht="20.100000000000001" customHeight="1">
      <c r="A89">
        <v>75</v>
      </c>
      <c r="B89" s="5">
        <f t="shared" si="8"/>
        <v>298.98989898989902</v>
      </c>
      <c r="C89" s="6">
        <f t="shared" si="9"/>
        <v>1785.3130729154718</v>
      </c>
      <c r="D89" s="7">
        <f t="shared" si="10"/>
        <v>41930.924944380706</v>
      </c>
      <c r="E89" s="5">
        <f t="shared" si="11"/>
        <v>41.930924944380706</v>
      </c>
    </row>
    <row r="90" spans="1:5" ht="20.100000000000001" customHeight="1">
      <c r="A90">
        <v>76</v>
      </c>
      <c r="B90" s="5">
        <f t="shared" si="8"/>
        <v>303.03030303030306</v>
      </c>
      <c r="C90" s="6">
        <f t="shared" si="9"/>
        <v>1773.3710454231641</v>
      </c>
      <c r="D90" s="7">
        <f t="shared" si="10"/>
        <v>41650.447382175909</v>
      </c>
      <c r="E90" s="5">
        <f t="shared" si="11"/>
        <v>41.650447382175912</v>
      </c>
    </row>
    <row r="91" spans="1:5" ht="20.100000000000001" customHeight="1">
      <c r="A91">
        <v>77</v>
      </c>
      <c r="B91" s="5">
        <f t="shared" si="8"/>
        <v>307.0707070707071</v>
      </c>
      <c r="C91" s="6">
        <f t="shared" si="9"/>
        <v>1761.6654980589335</v>
      </c>
      <c r="D91" s="7">
        <f t="shared" si="10"/>
        <v>41375.523932945289</v>
      </c>
      <c r="E91" s="5">
        <f t="shared" si="11"/>
        <v>41.375523932945292</v>
      </c>
    </row>
    <row r="92" spans="1:5" ht="20.100000000000001" customHeight="1">
      <c r="A92">
        <v>78</v>
      </c>
      <c r="B92" s="5">
        <f t="shared" si="8"/>
        <v>311.11111111111114</v>
      </c>
      <c r="C92" s="6">
        <f t="shared" si="9"/>
        <v>1750.1887276931227</v>
      </c>
      <c r="D92" s="7">
        <f t="shared" si="10"/>
        <v>41105.973676402973</v>
      </c>
      <c r="E92" s="5">
        <f t="shared" si="11"/>
        <v>41.105973676402975</v>
      </c>
    </row>
    <row r="93" spans="1:5" ht="20.100000000000001" customHeight="1">
      <c r="A93">
        <v>79</v>
      </c>
      <c r="B93" s="5">
        <f t="shared" si="8"/>
        <v>315.15151515151518</v>
      </c>
      <c r="C93" s="6">
        <f t="shared" si="9"/>
        <v>1738.9333779717601</v>
      </c>
      <c r="D93" s="7">
        <f t="shared" si="10"/>
        <v>40841.62383684318</v>
      </c>
      <c r="E93" s="5">
        <f t="shared" si="11"/>
        <v>40.841623836843183</v>
      </c>
    </row>
    <row r="94" spans="1:5" ht="20.100000000000001" customHeight="1">
      <c r="A94">
        <v>80</v>
      </c>
      <c r="B94" s="5">
        <f t="shared" si="8"/>
        <v>319.19191919191923</v>
      </c>
      <c r="C94" s="6">
        <f t="shared" si="9"/>
        <v>1727.8924195000511</v>
      </c>
      <c r="D94" s="7">
        <f t="shared" si="10"/>
        <v>40582.309317717845</v>
      </c>
      <c r="E94" s="5">
        <f t="shared" si="11"/>
        <v>40.582309317717844</v>
      </c>
    </row>
    <row r="95" spans="1:5" ht="20.100000000000001" customHeight="1">
      <c r="A95">
        <v>81</v>
      </c>
      <c r="B95" s="5">
        <f t="shared" si="8"/>
        <v>323.23232323232327</v>
      </c>
      <c r="C95" s="6">
        <f t="shared" si="9"/>
        <v>1717.0591313925879</v>
      </c>
      <c r="D95" s="7">
        <f t="shared" si="10"/>
        <v>40327.872268313906</v>
      </c>
      <c r="E95" s="5">
        <f t="shared" si="11"/>
        <v>40.327872268313904</v>
      </c>
    </row>
    <row r="96" spans="1:5" ht="20.100000000000001" customHeight="1">
      <c r="A96">
        <v>82</v>
      </c>
      <c r="B96" s="5">
        <f t="shared" si="8"/>
        <v>327.27272727272731</v>
      </c>
      <c r="C96" s="6">
        <f t="shared" si="9"/>
        <v>1706.4270840802533</v>
      </c>
      <c r="D96" s="7">
        <f t="shared" si="10"/>
        <v>40078.161679946017</v>
      </c>
      <c r="E96" s="5">
        <f t="shared" si="11"/>
        <v>40.078161679946014</v>
      </c>
    </row>
    <row r="97" spans="1:5" ht="20.100000000000001" customHeight="1">
      <c r="A97">
        <v>83</v>
      </c>
      <c r="B97" s="5">
        <f t="shared" si="8"/>
        <v>331.31313131313135</v>
      </c>
      <c r="C97" s="6">
        <f t="shared" si="9"/>
        <v>1695.9901232738957</v>
      </c>
      <c r="D97" s="7">
        <f t="shared" si="10"/>
        <v>39833.033009317871</v>
      </c>
      <c r="E97" s="5">
        <f t="shared" si="11"/>
        <v>39.833033009317873</v>
      </c>
    </row>
    <row r="98" spans="1:5" ht="20.100000000000001" customHeight="1">
      <c r="A98">
        <v>84</v>
      </c>
      <c r="B98" s="5">
        <f t="shared" si="8"/>
        <v>335.35353535353539</v>
      </c>
      <c r="C98" s="6">
        <f t="shared" si="9"/>
        <v>1685.7423549939069</v>
      </c>
      <c r="D98" s="7">
        <f t="shared" si="10"/>
        <v>39592.347826917954</v>
      </c>
      <c r="E98" s="5">
        <f t="shared" si="11"/>
        <v>39.592347826917951</v>
      </c>
    </row>
    <row r="99" spans="1:5" ht="20.100000000000001" customHeight="1">
      <c r="A99">
        <v>85</v>
      </c>
      <c r="B99" s="5">
        <f t="shared" si="8"/>
        <v>339.39393939393943</v>
      </c>
      <c r="C99" s="6">
        <f t="shared" si="9"/>
        <v>1675.6781315829717</v>
      </c>
      <c r="D99" s="7">
        <f t="shared" si="10"/>
        <v>39355.973488506672</v>
      </c>
      <c r="E99" s="5">
        <f t="shared" si="11"/>
        <v>39.35597348850667</v>
      </c>
    </row>
    <row r="100" spans="1:5" ht="20.100000000000001" customHeight="1">
      <c r="A100">
        <v>86</v>
      </c>
      <c r="B100" s="5">
        <f t="shared" si="8"/>
        <v>343.43434343434348</v>
      </c>
      <c r="C100" s="6">
        <f t="shared" si="9"/>
        <v>1665.7920386265773</v>
      </c>
      <c r="D100" s="7">
        <f t="shared" si="10"/>
        <v>39123.782827923649</v>
      </c>
      <c r="E100" s="5">
        <f t="shared" si="11"/>
        <v>39.123782827923648</v>
      </c>
    </row>
    <row r="101" spans="1:5" ht="20.100000000000001" customHeight="1">
      <c r="A101">
        <v>87</v>
      </c>
      <c r="B101" s="5">
        <f t="shared" si="8"/>
        <v>347.47474747474752</v>
      </c>
      <c r="C101" s="6">
        <f t="shared" si="9"/>
        <v>1656.0788827124763</v>
      </c>
      <c r="D101" s="7">
        <f t="shared" si="10"/>
        <v>38895.653869599199</v>
      </c>
      <c r="E101" s="5">
        <f t="shared" si="11"/>
        <v>38.895653869599201</v>
      </c>
    </row>
    <row r="102" spans="1:5" ht="20.100000000000001" customHeight="1">
      <c r="A102">
        <v>88</v>
      </c>
      <c r="B102" s="5">
        <f t="shared" si="8"/>
        <v>351.51515151515156</v>
      </c>
      <c r="C102" s="6">
        <f t="shared" si="9"/>
        <v>1646.5336799662325</v>
      </c>
      <c r="D102" s="7">
        <f t="shared" si="10"/>
        <v>38671.469559293306</v>
      </c>
      <c r="E102" s="5">
        <f t="shared" si="11"/>
        <v>38.671469559293307</v>
      </c>
    </row>
    <row r="103" spans="1:5" ht="20.100000000000001" customHeight="1">
      <c r="A103">
        <v>89</v>
      </c>
      <c r="B103" s="5">
        <f t="shared" si="8"/>
        <v>355.5555555555556</v>
      </c>
      <c r="C103" s="6">
        <f t="shared" si="9"/>
        <v>1637.1516453053648</v>
      </c>
      <c r="D103" s="7">
        <f t="shared" si="10"/>
        <v>38451.117511712102</v>
      </c>
      <c r="E103" s="5">
        <f t="shared" si="11"/>
        <v>38.451117511712098</v>
      </c>
    </row>
    <row r="104" spans="1:5" ht="20.100000000000001" customHeight="1">
      <c r="A104">
        <v>90</v>
      </c>
      <c r="B104" s="5">
        <f t="shared" si="8"/>
        <v>359.59595959595964</v>
      </c>
      <c r="C104" s="6">
        <f t="shared" si="9"/>
        <v>1627.9281823594529</v>
      </c>
      <c r="D104" s="7">
        <f t="shared" si="10"/>
        <v>38234.489773765425</v>
      </c>
      <c r="E104" s="5">
        <f t="shared" si="11"/>
        <v>38.234489773765425</v>
      </c>
    </row>
    <row r="105" spans="1:5" ht="20.100000000000001" customHeight="1">
      <c r="A105">
        <v>91</v>
      </c>
      <c r="B105" s="5">
        <f t="shared" si="8"/>
        <v>363.63636363636368</v>
      </c>
      <c r="C105" s="6">
        <f t="shared" si="9"/>
        <v>1618.8588740079761</v>
      </c>
      <c r="D105" s="7">
        <f t="shared" si="10"/>
        <v>38021.482602332908</v>
      </c>
      <c r="E105" s="5">
        <f t="shared" si="11"/>
        <v>38.02148260233291</v>
      </c>
    </row>
    <row r="106" spans="1:5" ht="20.100000000000001" customHeight="1">
      <c r="A106">
        <v>92</v>
      </c>
      <c r="B106" s="5">
        <f t="shared" si="8"/>
        <v>367.67676767676772</v>
      </c>
      <c r="C106" s="6">
        <f t="shared" si="9"/>
        <v>1609.9394734916348</v>
      </c>
      <c r="D106" s="7">
        <f t="shared" si="10"/>
        <v>37811.996255499165</v>
      </c>
      <c r="E106" s="5">
        <f t="shared" si="11"/>
        <v>37.811996255499167</v>
      </c>
    </row>
    <row r="107" spans="1:5" ht="20.100000000000001" customHeight="1">
      <c r="A107">
        <v>93</v>
      </c>
      <c r="B107" s="5">
        <f t="shared" si="8"/>
        <v>371.71717171717177</v>
      </c>
      <c r="C107" s="6">
        <f t="shared" si="9"/>
        <v>1601.1658960565248</v>
      </c>
      <c r="D107" s="7">
        <f t="shared" si="10"/>
        <v>37605.934796303925</v>
      </c>
      <c r="E107" s="5">
        <f t="shared" si="11"/>
        <v>37.605934796303927</v>
      </c>
    </row>
    <row r="108" spans="1:5" ht="20.100000000000001" customHeight="1">
      <c r="A108">
        <v>94</v>
      </c>
      <c r="B108" s="5">
        <f t="shared" si="8"/>
        <v>375.75757575757581</v>
      </c>
      <c r="C108" s="6">
        <f t="shared" si="9"/>
        <v>1592.534211093825</v>
      </c>
      <c r="D108" s="7">
        <f t="shared" si="10"/>
        <v>37403.20590813001</v>
      </c>
      <c r="E108" s="5">
        <f t="shared" si="11"/>
        <v>37.403205908130012</v>
      </c>
    </row>
    <row r="109" spans="1:5" ht="20.100000000000001" customHeight="1">
      <c r="A109">
        <v>95</v>
      </c>
      <c r="B109" s="5">
        <f t="shared" si="8"/>
        <v>379.79797979797985</v>
      </c>
      <c r="C109" s="6">
        <f t="shared" si="9"/>
        <v>1584.0406347406322</v>
      </c>
      <c r="D109" s="7">
        <f t="shared" si="10"/>
        <v>37203.720720922196</v>
      </c>
      <c r="E109" s="5">
        <f t="shared" si="11"/>
        <v>37.203720720922199</v>
      </c>
    </row>
    <row r="110" spans="1:5" ht="20.100000000000001" customHeight="1">
      <c r="A110">
        <v>96</v>
      </c>
      <c r="B110" s="5">
        <f t="shared" si="8"/>
        <v>383.83838383838389</v>
      </c>
      <c r="C110" s="6">
        <f t="shared" si="9"/>
        <v>1575.6815229103197</v>
      </c>
      <c r="D110" s="7">
        <f t="shared" si="10"/>
        <v>37007.393647494042</v>
      </c>
      <c r="E110" s="5">
        <f t="shared" si="11"/>
        <v>37.007393647494041</v>
      </c>
    </row>
    <row r="111" spans="1:5" ht="20.100000000000001" customHeight="1">
      <c r="A111">
        <v>97</v>
      </c>
      <c r="B111" s="5">
        <f t="shared" ref="B111:B142" si="12">(A111-1)*$B$11</f>
        <v>387.87878787878788</v>
      </c>
      <c r="C111" s="6">
        <f t="shared" ref="C111:C142" si="13">IF(B111=0,"",1/(2*PI()*SQRT(($B$7/1000)*(B111/1000000000))))</f>
        <v>1567.4533647232454</v>
      </c>
      <c r="D111" s="7">
        <f t="shared" ref="D111:D142" si="14">IF(C111="","",C111/$B$8)</f>
        <v>36814.142229237594</v>
      </c>
      <c r="E111" s="5">
        <f t="shared" ref="E111:E142" si="15">IF(D111="","",D111/1000)</f>
        <v>36.814142229237596</v>
      </c>
    </row>
    <row r="112" spans="1:5" ht="20.100000000000001" customHeight="1">
      <c r="A112">
        <v>98</v>
      </c>
      <c r="B112" s="5">
        <f t="shared" si="12"/>
        <v>391.91919191919192</v>
      </c>
      <c r="C112" s="6">
        <f t="shared" si="13"/>
        <v>1559.3527763109262</v>
      </c>
      <c r="D112" s="7">
        <f t="shared" si="14"/>
        <v>36623.886990604515</v>
      </c>
      <c r="E112" s="5">
        <f t="shared" si="15"/>
        <v>36.623886990604518</v>
      </c>
    </row>
    <row r="113" spans="1:5" ht="20.100000000000001" customHeight="1">
      <c r="A113">
        <v>99</v>
      </c>
      <c r="B113" s="5">
        <f t="shared" si="12"/>
        <v>395.95959595959596</v>
      </c>
      <c r="C113" s="6">
        <f t="shared" si="13"/>
        <v>1551.3764949688295</v>
      </c>
      <c r="D113" s="7">
        <f t="shared" si="14"/>
        <v>36436.551301775136</v>
      </c>
      <c r="E113" s="5">
        <f t="shared" si="15"/>
        <v>36.43655130177514</v>
      </c>
    </row>
    <row r="114" spans="1:5" ht="20.100000000000001" customHeight="1">
      <c r="A114">
        <v>100</v>
      </c>
      <c r="B114" s="5">
        <f t="shared" si="12"/>
        <v>400</v>
      </c>
      <c r="C114" s="6">
        <f t="shared" si="13"/>
        <v>1543.5213736348492</v>
      </c>
      <c r="D114" s="7">
        <f t="shared" si="14"/>
        <v>36252.061248976577</v>
      </c>
      <c r="E114" s="5">
        <f t="shared" si="15"/>
        <v>36.252061248976574</v>
      </c>
    </row>
  </sheetData>
  <mergeCells count="7">
    <mergeCell ref="G9:N9"/>
    <mergeCell ref="G11:N11"/>
    <mergeCell ref="A1:E2"/>
    <mergeCell ref="G5:N5"/>
    <mergeCell ref="G6:N6"/>
    <mergeCell ref="G7:N7"/>
    <mergeCell ref="G8:N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 Tuning - 100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Vania</dc:creator>
  <cp:lastModifiedBy>Hunter Jerome Vania</cp:lastModifiedBy>
  <dcterms:created xsi:type="dcterms:W3CDTF">2026-10-14T02:44:19Z</dcterms:created>
  <dcterms:modified xsi:type="dcterms:W3CDTF">2026-10-14T02:45:57Z</dcterms:modified>
</cp:coreProperties>
</file>