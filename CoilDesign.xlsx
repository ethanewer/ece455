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vania_wisc_edu/Documents/ECE 455/"/>
    </mc:Choice>
  </mc:AlternateContent>
  <xr:revisionPtr revIDLastSave="30" documentId="11_6AFF9B550CD09894B3EA4EAF299E8DB9B92717FC" xr6:coauthVersionLast="47" xr6:coauthVersionMax="47" xr10:uidLastSave="{2CFF65B6-4408-47B6-B135-C2325BBF2BC8}"/>
  <bookViews>
    <workbookView xWindow="-120" yWindow="-120" windowWidth="38640" windowHeight="21120" xr2:uid="{00000000-000D-0000-FFFF-FFFF00000000}"/>
  </bookViews>
  <sheets>
    <sheet name="Coil summary" sheetId="1" r:id="rId1"/>
    <sheet name="Inputs and metho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11" i="1" s="1"/>
  <c r="B6" i="1"/>
  <c r="B11" i="1" s="1"/>
  <c r="C4" i="1"/>
  <c r="B4" i="1"/>
  <c r="B5" i="1" l="1"/>
  <c r="C5" i="1"/>
  <c r="B9" i="1"/>
  <c r="C9" i="1"/>
  <c r="B10" i="1"/>
  <c r="B13" i="1" s="1"/>
  <c r="C10" i="1"/>
  <c r="C13" i="1" s="1"/>
  <c r="B12" i="1" l="1"/>
  <c r="C12" i="1"/>
  <c r="C14" i="1" s="1"/>
  <c r="B14" i="1"/>
  <c r="B16" i="1" s="1"/>
  <c r="C16" i="1" l="1"/>
  <c r="C15" i="1"/>
  <c r="C36" i="1" s="1"/>
  <c r="C17" i="1"/>
  <c r="B15" i="1"/>
  <c r="B17" i="1"/>
  <c r="C37" i="1" l="1"/>
  <c r="C38" i="1" s="1"/>
  <c r="B19" i="1"/>
  <c r="B22" i="1" s="1"/>
  <c r="B25" i="1" s="1"/>
  <c r="B26" i="1" s="1"/>
  <c r="B18" i="1"/>
  <c r="B27" i="1"/>
  <c r="C19" i="1"/>
  <c r="C18" i="1"/>
  <c r="C33" i="1"/>
  <c r="C35" i="1" s="1"/>
  <c r="C42" i="1" l="1"/>
  <c r="B29" i="1"/>
  <c r="B30" i="1" s="1"/>
  <c r="B28" i="1"/>
  <c r="C39" i="1"/>
  <c r="C34" i="1"/>
  <c r="C40" i="1" s="1"/>
  <c r="B24" i="1"/>
  <c r="B23" i="1"/>
  <c r="C41" i="1"/>
  <c r="C43" i="1" l="1"/>
  <c r="C44" i="1"/>
  <c r="C45" i="1" s="1"/>
</calcChain>
</file>

<file path=xl/sharedStrings.xml><?xml version="1.0" encoding="utf-8"?>
<sst xmlns="http://schemas.openxmlformats.org/spreadsheetml/2006/main" count="195" uniqueCount="149">
  <si>
    <t>Final magnetometer coils - Once coil is wound, measure L and R and do recalculations!!</t>
  </si>
  <si>
    <t>Characteristic</t>
  </si>
  <si>
    <t>Polarization</t>
  </si>
  <si>
    <t>Sensing / coil</t>
  </si>
  <si>
    <t>Unit</t>
  </si>
  <si>
    <t>Physical build and electrical resistance</t>
  </si>
  <si>
    <t>Spool wire length</t>
  </si>
  <si>
    <t>m</t>
  </si>
  <si>
    <t>Usable wire length</t>
  </si>
  <si>
    <t>Design wire OD</t>
  </si>
  <si>
    <t>mm</t>
  </si>
  <si>
    <t>Bobbin outer dimensions</t>
  </si>
  <si>
    <t>146 × 76</t>
  </si>
  <si>
    <t>60 × 60</t>
  </si>
  <si>
    <t>Bobbin inner dimensions</t>
  </si>
  <si>
    <t>140 × 70</t>
  </si>
  <si>
    <t>56 × 56</t>
  </si>
  <si>
    <t>Turns per complete layer</t>
  </si>
  <si>
    <t>turns</t>
  </si>
  <si>
    <t>First-layer turn perimeter</t>
  </si>
  <si>
    <t>Perimeter added per layer</t>
  </si>
  <si>
    <t>Wire in complete layers</t>
  </si>
  <si>
    <t>Next-layer turn perimeter</t>
  </si>
  <si>
    <t>Turns in partial final layer</t>
  </si>
  <si>
    <t>Estimated total turns</t>
  </si>
  <si>
    <t>Occupied layers</t>
  </si>
  <si>
    <t>layers</t>
  </si>
  <si>
    <t>Wire used in winding</t>
  </si>
  <si>
    <t>Wire left on spool</t>
  </si>
  <si>
    <t>Estimated DC resistance at 20 °C</t>
  </si>
  <si>
    <t>Ω</t>
  </si>
  <si>
    <t>Polarization coil • predicted operation</t>
  </si>
  <si>
    <t>Operating current</t>
  </si>
  <si>
    <t>A</t>
  </si>
  <si>
    <t>Applied coil voltage</t>
  </si>
  <si>
    <t>V</t>
  </si>
  <si>
    <t>Resistive power while on</t>
  </si>
  <si>
    <t>W</t>
  </si>
  <si>
    <t>Ampere-turns</t>
  </si>
  <si>
    <t>A·turn</t>
  </si>
  <si>
    <t>Estimated center field</t>
  </si>
  <si>
    <t>mT</t>
  </si>
  <si>
    <t>Estimated inductance</t>
  </si>
  <si>
    <t>mH</t>
  </si>
  <si>
    <t>Stored magnetic energy</t>
  </si>
  <si>
    <t>mJ</t>
  </si>
  <si>
    <t>L/R turn-on time constant</t>
  </si>
  <si>
    <t>ms</t>
  </si>
  <si>
    <t>Approximate TVS turn-off time</t>
  </si>
  <si>
    <t>Sensing coils • predicted receive behavior</t>
  </si>
  <si>
    <t>Estimated inductance per coil</t>
  </si>
  <si>
    <t>Series-pair resistance</t>
  </si>
  <si>
    <t>Estimated series-pair inductance</t>
  </si>
  <si>
    <t>Relative induced signal / coil</t>
  </si>
  <si>
    <t>× baseline</t>
  </si>
  <si>
    <t>Illustrative peak signal / coil</t>
  </si>
  <si>
    <t>µV peak</t>
  </si>
  <si>
    <t>Illustrative series-pair peak</t>
  </si>
  <si>
    <t>Johnson noise density / coil</t>
  </si>
  <si>
    <t>nV/√Hz</t>
  </si>
  <si>
    <t>Johnson noise density / pair</t>
  </si>
  <si>
    <t>Relative coil-only SNR / coil</t>
  </si>
  <si>
    <t>Series-pair tuning capacitor</t>
  </si>
  <si>
    <t>nF</t>
  </si>
  <si>
    <t>Unloaded series Q near 1.795 kHz</t>
  </si>
  <si>
    <t>dimensionless</t>
  </si>
  <si>
    <t>Electrical amplitude ring-down τ</t>
  </si>
  <si>
    <t>Approximate 5τ settling time</t>
  </si>
  <si>
    <t>Inputs and calculation method</t>
  </si>
  <si>
    <t>Values in the input columns are editable. Heavy-build OD uses conservative published limits.</t>
  </si>
  <si>
    <t>Editable inputs</t>
  </si>
  <si>
    <t>Basis or interpretation</t>
  </si>
  <si>
    <t>Wire length per spool</t>
  </si>
  <si>
    <t>ft</t>
  </si>
  <si>
    <t>EMTEL listing; one polarization spool, one spool per sensing coil.</t>
  </si>
  <si>
    <t>Design insulated wire outside diameter</t>
  </si>
  <si>
    <t>Heavy-build maximum OD from published magnet-wire dimensions; confirm actual EMTEL insulated OD.</t>
  </si>
  <si>
    <t>Bobbin outer long dimension</t>
  </si>
  <si>
    <t>Approximate winding core dimensions.</t>
  </si>
  <si>
    <t>Bobbin outer short dimension</t>
  </si>
  <si>
    <t>Bobbin inner long dimension</t>
  </si>
  <si>
    <t>Approximate clear aperture.</t>
  </si>
  <si>
    <t>Bobbin inner short dimension</t>
  </si>
  <si>
    <t>Winding width</t>
  </si>
  <si>
    <t>Usable axial width; actual flanges may reduce this.</t>
  </si>
  <si>
    <t>Lead / winding margin</t>
  </si>
  <si>
    <t>fraction</t>
  </si>
  <si>
    <t>3% of spool length held for leads, imperfect packing and variation.</t>
  </si>
  <si>
    <t>Copper resistance at 20 °C</t>
  </si>
  <si>
    <t>Ω/1000 ft</t>
  </si>
  <si>
    <t>Nominal AWG copper values; measure finished coils.</t>
  </si>
  <si>
    <t>Planned complete layers</t>
  </si>
  <si>
    <t>Used to calculate a partial final layer without circular formulas.</t>
  </si>
  <si>
    <t>Polarization current limit</t>
  </si>
  <si>
    <t>Prior design limit.</t>
  </si>
  <si>
    <t>Supply voltage ceiling</t>
  </si>
  <si>
    <t>Assumed TVS voltage across coil during turn-off</t>
  </si>
  <si>
    <t>Illustrative effective TVS voltage across the coil during current decay; final value depends on the selected TVS and pulse current.</t>
  </si>
  <si>
    <t>Signal / tuning frequency</t>
  </si>
  <si>
    <t>Hz</t>
  </si>
  <si>
    <t>Approximate proton precession frequency.</t>
  </si>
  <si>
    <t>Noise temperature</t>
  </si>
  <si>
    <t>K</t>
  </si>
  <si>
    <t>20 °C ambient; hot coil resistance/noise will increase.</t>
  </si>
  <si>
    <t>Earlier sensing baseline turns</t>
  </si>
  <si>
    <t>turns/coil</t>
  </si>
  <si>
    <t>20 AWG comparison design.</t>
  </si>
  <si>
    <t>Earlier sensing baseline resistance</t>
  </si>
  <si>
    <t>Ω/coil</t>
  </si>
  <si>
    <t>Earlier baseline peak signal</t>
  </si>
  <si>
    <t>Illustrative prior assumption, not a measured signal.</t>
  </si>
  <si>
    <t>Earlier 1544-turn signal ratio</t>
  </si>
  <si>
    <t>×</t>
  </si>
  <si>
    <t>Earlier area-adjusted estimate relative to 590-turn baseline.</t>
  </si>
  <si>
    <t>Polarization reference turns</t>
  </si>
  <si>
    <t>Prior single-build geometric estimate.</t>
  </si>
  <si>
    <t>Polarization reference center field</t>
  </si>
  <si>
    <t>Earlier finite rectangular-coil center-field estimate at 3 A.</t>
  </si>
  <si>
    <t>Polarization reference inductance</t>
  </si>
  <si>
    <t>Earlier estimate at 342 turns.</t>
  </si>
  <si>
    <t>Sensing reference turns</t>
  </si>
  <si>
    <t>Earlier single-build geometric estimate.</t>
  </si>
  <si>
    <t>Legacy sensing reference inductance</t>
  </si>
  <si>
    <t>Earlier per-coil estimate at 1544 turns. Retained for comparison; no longer used for the final sensing-coil inductance estimate.</t>
  </si>
  <si>
    <t>Sensing reference resistance</t>
  </si>
  <si>
    <t>Earlier estimate per coil at 1544 turns.</t>
  </si>
  <si>
    <t>Listing diameter (bare copper)</t>
  </si>
  <si>
    <t>EMTEL listing diameters match nominal bare AWG sizes; do not use as winding pitch.</t>
  </si>
  <si>
    <t>Method and limits</t>
  </si>
  <si>
    <t>Winding pitch</t>
  </si>
  <si>
    <t>Floor(winding width / insulated OD). Close packing assumed. Listing diameters are bare copper sizes.</t>
  </si>
  <si>
    <t>Turn length</t>
  </si>
  <si>
    <t>First turn uses outer bobbin dimensions plus one wire OD on each side; each added layer raises rectangular perimeter by 8 × OD.</t>
  </si>
  <si>
    <t>Turns</t>
  </si>
  <si>
    <t>Full-layer wire length is an arithmetic series; remaining usable wire forms a partial final layer.</t>
  </si>
  <si>
    <t>Resistance</t>
  </si>
  <si>
    <t>Used wire length × nominal 20 °C Ω/1000 ft; includes winding length but excludes connection/contact resistance.</t>
  </si>
  <si>
    <t>Field and inductance</t>
  </si>
  <si>
    <t>Polarization field and inductance are scaled from prior finite-geometry estimates. Sensing inductance uses a Wheeler multilayer-solenoid approximation with an equivalent circular radius derived from the mean wound rectangular area; measure the finished coils.</t>
  </si>
  <si>
    <t>Induced voltage</t>
  </si>
  <si>
    <t>Scaled from earlier area-adjusted 2.51× signal at 1544 turns. The 15 µV baseline is illustrative, not a measured absolute prediction.</t>
  </si>
  <si>
    <t>Noise and SNR</t>
  </si>
  <si>
    <t>Johnson density = √(4kTR). Coil-only SNR ratio = signal ratio × √(Rbaseline/Rcoil). Amplifier and environmental noise excluded.</t>
  </si>
  <si>
    <t>Resonance</t>
  </si>
  <si>
    <t>Pair assumes two equal series-aiding coils with negligible mutual coupling: Lpair = 2L, Rpair = 2R. C = 1/[(2πf)²Lpair].</t>
  </si>
  <si>
    <t>Q and ring-down</t>
  </si>
  <si>
    <t>Unloaded series Q = 2πfL/R. Voltage amplitude ring-down τ = 2Lpair/Rpair = Q/(πf); loading changes both.</t>
  </si>
  <si>
    <t>TVS turn-off</t>
  </si>
  <si>
    <t>For the TVS directly across the polarization coil: t = (L/R) ln[1 + I·R/VTVS], where VTVS is the reverse voltage developed across the coil. The MOSFET sees approximately Vsupply + VTVS, plus parasitic overshoot.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</si>
</sst>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b/>
      <sz val="15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/>
      <top style="thin">
        <color rgb="FFE4EAF0"/>
      </top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2" fontId="1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0" fontId="2" fillId="2" borderId="4" xfId="0" applyFont="1" applyFill="1" applyBorder="1" applyAlignment="1">
      <alignment wrapText="1"/>
    </xf>
    <xf numFmtId="164" fontId="2" fillId="2" borderId="4" xfId="0" applyNumberFormat="1" applyFont="1" applyFill="1" applyBorder="1"/>
    <xf numFmtId="3" fontId="2" fillId="2" borderId="4" xfId="0" applyNumberFormat="1" applyFont="1" applyFill="1" applyBorder="1"/>
    <xf numFmtId="2" fontId="2" fillId="2" borderId="4" xfId="0" applyNumberFormat="1" applyFont="1" applyFill="1" applyBorder="1" applyAlignment="1">
      <alignment wrapText="1"/>
    </xf>
    <xf numFmtId="2" fontId="4" fillId="2" borderId="4" xfId="0" applyNumberFormat="1" applyFont="1" applyFill="1" applyBorder="1"/>
    <xf numFmtId="3" fontId="4" fillId="2" borderId="4" xfId="0" applyNumberFormat="1" applyFont="1" applyFill="1" applyBorder="1"/>
    <xf numFmtId="0" fontId="2" fillId="2" borderId="4" xfId="0" applyFont="1" applyFill="1" applyBorder="1" applyAlignment="1">
      <alignment wrapText="1"/>
    </xf>
    <xf numFmtId="2" fontId="2" fillId="2" borderId="4" xfId="0" applyNumberFormat="1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2" fontId="2" fillId="2" borderId="4" xfId="0" applyNumberFormat="1" applyFont="1" applyFill="1" applyBorder="1" applyAlignment="1"/>
    <xf numFmtId="0" fontId="2" fillId="2" borderId="4" xfId="0" applyFont="1" applyFill="1" applyBorder="1" applyAlignment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5" zoomScale="130" zoomScaleNormal="130" workbookViewId="0">
      <selection activeCell="F5" sqref="F5"/>
    </sheetView>
  </sheetViews>
  <sheetFormatPr defaultRowHeight="14.25"/>
  <cols>
    <col min="1" max="1" width="33.5" customWidth="1"/>
    <col min="2" max="3" width="13" customWidth="1"/>
    <col min="4" max="4" width="8.375" customWidth="1"/>
  </cols>
  <sheetData>
    <row r="1" spans="1:4" ht="33.950000000000003" customHeight="1">
      <c r="A1" s="17" t="s">
        <v>0</v>
      </c>
      <c r="B1" s="17"/>
      <c r="C1" s="17"/>
      <c r="D1" s="17"/>
    </row>
    <row r="2" spans="1:4" ht="18.95" customHeight="1">
      <c r="A2" s="4" t="s">
        <v>1</v>
      </c>
      <c r="B2" s="4" t="s">
        <v>2</v>
      </c>
      <c r="C2" s="4" t="s">
        <v>3</v>
      </c>
      <c r="D2" s="4" t="s">
        <v>4</v>
      </c>
    </row>
    <row r="3" spans="1:4" ht="23.1" customHeight="1">
      <c r="A3" s="4" t="s">
        <v>5</v>
      </c>
      <c r="B3" s="6"/>
      <c r="C3" s="6"/>
      <c r="D3" s="4"/>
    </row>
    <row r="4" spans="1:4" ht="18.95" customHeight="1">
      <c r="A4" s="7" t="s">
        <v>6</v>
      </c>
      <c r="B4" s="8">
        <f>'Inputs and method'!B5*0.3048</f>
        <v>153.92400000000001</v>
      </c>
      <c r="C4" s="8">
        <f>'Inputs and method'!C5*0.3048</f>
        <v>384.9624</v>
      </c>
      <c r="D4" s="7" t="s">
        <v>7</v>
      </c>
    </row>
    <row r="5" spans="1:4" ht="18.95" customHeight="1">
      <c r="A5" s="7" t="s">
        <v>8</v>
      </c>
      <c r="B5" s="8">
        <f>B4*(1-'Inputs and method'!B12)</f>
        <v>149.30628000000002</v>
      </c>
      <c r="C5" s="8">
        <f>C4*(1-'Inputs and method'!C12)</f>
        <v>373.41352799999999</v>
      </c>
      <c r="D5" s="7" t="s">
        <v>7</v>
      </c>
    </row>
    <row r="6" spans="1:4" ht="18.95" customHeight="1">
      <c r="A6" s="7" t="s">
        <v>9</v>
      </c>
      <c r="B6" s="10">
        <f>'Inputs and method'!B6</f>
        <v>0.71399999999999997</v>
      </c>
      <c r="C6" s="10">
        <f>'Inputs and method'!C6</f>
        <v>0.46200000000000002</v>
      </c>
      <c r="D6" s="7" t="s">
        <v>10</v>
      </c>
    </row>
    <row r="7" spans="1:4" ht="18.95" customHeight="1">
      <c r="A7" s="7" t="s">
        <v>11</v>
      </c>
      <c r="B7" s="8" t="s">
        <v>12</v>
      </c>
      <c r="C7" s="8" t="s">
        <v>13</v>
      </c>
      <c r="D7" s="7" t="s">
        <v>10</v>
      </c>
    </row>
    <row r="8" spans="1:4" ht="18.95" customHeight="1">
      <c r="A8" s="7" t="s">
        <v>14</v>
      </c>
      <c r="B8" s="8" t="s">
        <v>15</v>
      </c>
      <c r="C8" s="8" t="s">
        <v>16</v>
      </c>
      <c r="D8" s="7" t="s">
        <v>10</v>
      </c>
    </row>
    <row r="9" spans="1:4" ht="18.95" customHeight="1">
      <c r="A9" s="7" t="s">
        <v>17</v>
      </c>
      <c r="B9" s="11">
        <f>INT('Inputs and method'!B11/B6)</f>
        <v>140</v>
      </c>
      <c r="C9" s="11">
        <f>INT('Inputs and method'!C11/C6)</f>
        <v>216</v>
      </c>
      <c r="D9" s="7" t="s">
        <v>18</v>
      </c>
    </row>
    <row r="10" spans="1:4" ht="18.95" customHeight="1">
      <c r="A10" s="7" t="s">
        <v>19</v>
      </c>
      <c r="B10" s="10">
        <f>2*('Inputs and method'!B7+'Inputs and method'!B8+2*B6)/1000</f>
        <v>0.44685599999999998</v>
      </c>
      <c r="C10" s="10">
        <f>2*('Inputs and method'!C7+'Inputs and method'!C8+2*C6)/1000</f>
        <v>0.24184800000000001</v>
      </c>
      <c r="D10" s="7" t="s">
        <v>7</v>
      </c>
    </row>
    <row r="11" spans="1:4" ht="18.95" customHeight="1">
      <c r="A11" s="7" t="s">
        <v>20</v>
      </c>
      <c r="B11" s="10">
        <f>8*B6/1000</f>
        <v>5.7120000000000001E-3</v>
      </c>
      <c r="C11" s="10">
        <f>8*C6/1000</f>
        <v>3.6960000000000001E-3</v>
      </c>
      <c r="D11" s="7" t="s">
        <v>7</v>
      </c>
    </row>
    <row r="12" spans="1:4" ht="18.95" customHeight="1">
      <c r="A12" s="7" t="s">
        <v>21</v>
      </c>
      <c r="B12" s="10">
        <f>B9*('Inputs and method'!B14*B10+B11*'Inputs and method'!B14*('Inputs and method'!B14-1)/2)</f>
        <v>125.91936</v>
      </c>
      <c r="C12" s="10">
        <f>C9*('Inputs and method'!C14*C10+C11*'Inputs and method'!C14*('Inputs and method'!C14-1)/2)</f>
        <v>325.41004799999996</v>
      </c>
      <c r="D12" s="7" t="s">
        <v>7</v>
      </c>
    </row>
    <row r="13" spans="1:4" ht="18.95" customHeight="1">
      <c r="A13" s="7" t="s">
        <v>22</v>
      </c>
      <c r="B13" s="10">
        <f>B10+'Inputs and method'!B14*B11</f>
        <v>0.45827999999999997</v>
      </c>
      <c r="C13" s="10">
        <f>C10+'Inputs and method'!C14*C11</f>
        <v>0.26402400000000004</v>
      </c>
      <c r="D13" s="7" t="s">
        <v>7</v>
      </c>
    </row>
    <row r="14" spans="1:4" ht="18.95" customHeight="1">
      <c r="A14" s="7" t="s">
        <v>23</v>
      </c>
      <c r="B14" s="11">
        <f>MAX(0,MIN(B9,INT((B5-B12)/B13)))</f>
        <v>51</v>
      </c>
      <c r="C14" s="11">
        <f>MAX(0,MIN(C9,INT((C5-C12)/C13)))</f>
        <v>181</v>
      </c>
      <c r="D14" s="7" t="s">
        <v>18</v>
      </c>
    </row>
    <row r="15" spans="1:4" ht="18.95" customHeight="1">
      <c r="A15" s="7" t="s">
        <v>24</v>
      </c>
      <c r="B15" s="14">
        <f>'Inputs and method'!B14*B9+B14</f>
        <v>331</v>
      </c>
      <c r="C15" s="14">
        <f>'Inputs and method'!C14*C9+C14</f>
        <v>1477</v>
      </c>
      <c r="D15" s="7" t="s">
        <v>18</v>
      </c>
    </row>
    <row r="16" spans="1:4" ht="18.95" customHeight="1">
      <c r="A16" s="7" t="s">
        <v>25</v>
      </c>
      <c r="B16" s="11">
        <f>'Inputs and method'!B14+IF(B14&gt;0,1,0)</f>
        <v>3</v>
      </c>
      <c r="C16" s="11">
        <f>'Inputs and method'!C14+IF(C14&gt;0,1,0)</f>
        <v>7</v>
      </c>
      <c r="D16" s="7" t="s">
        <v>26</v>
      </c>
    </row>
    <row r="17" spans="1:4" ht="18.95" customHeight="1">
      <c r="A17" s="7" t="s">
        <v>27</v>
      </c>
      <c r="B17" s="8">
        <f>B12+B14*B13</f>
        <v>149.29164</v>
      </c>
      <c r="C17" s="8">
        <f>C12+C14*C13</f>
        <v>373.19839199999996</v>
      </c>
      <c r="D17" s="7" t="s">
        <v>7</v>
      </c>
    </row>
    <row r="18" spans="1:4" ht="18.95" customHeight="1">
      <c r="A18" s="7" t="s">
        <v>28</v>
      </c>
      <c r="B18" s="8">
        <f>B4-B17</f>
        <v>4.6323600000000056</v>
      </c>
      <c r="C18" s="8">
        <f>C4-C17</f>
        <v>11.764008000000047</v>
      </c>
      <c r="D18" s="7" t="s">
        <v>7</v>
      </c>
    </row>
    <row r="19" spans="1:4" ht="18.95" customHeight="1">
      <c r="A19" s="7" t="s">
        <v>29</v>
      </c>
      <c r="B19" s="8">
        <f>B17/0.3048/1000*'Inputs and method'!B13</f>
        <v>7.9054037716535435</v>
      </c>
      <c r="C19" s="8">
        <f>C17/0.3048/1000*'Inputs and method'!C13</f>
        <v>49.967934309448822</v>
      </c>
      <c r="D19" s="7" t="s">
        <v>30</v>
      </c>
    </row>
    <row r="20" spans="1:4" ht="18.95" customHeight="1">
      <c r="A20" s="7"/>
      <c r="B20" s="8"/>
      <c r="C20" s="8"/>
      <c r="D20" s="7"/>
    </row>
    <row r="21" spans="1:4" ht="23.1" customHeight="1">
      <c r="A21" s="4" t="s">
        <v>31</v>
      </c>
      <c r="B21" s="6"/>
      <c r="C21" s="6"/>
      <c r="D21" s="4"/>
    </row>
    <row r="22" spans="1:4" ht="18.95" customHeight="1">
      <c r="A22" s="7" t="s">
        <v>32</v>
      </c>
      <c r="B22" s="8">
        <f>MIN('Inputs and method'!B15,'Inputs and method'!B16/B19)</f>
        <v>3</v>
      </c>
      <c r="C22" s="8"/>
      <c r="D22" s="7" t="s">
        <v>33</v>
      </c>
    </row>
    <row r="23" spans="1:4" ht="18.95" customHeight="1">
      <c r="A23" s="7" t="s">
        <v>34</v>
      </c>
      <c r="B23" s="8">
        <f>B22*B19</f>
        <v>23.716211314960631</v>
      </c>
      <c r="C23" s="8"/>
      <c r="D23" s="7" t="s">
        <v>35</v>
      </c>
    </row>
    <row r="24" spans="1:4" ht="18.95" customHeight="1">
      <c r="A24" s="7" t="s">
        <v>36</v>
      </c>
      <c r="B24" s="8">
        <f>B22^2*B19</f>
        <v>71.148633944881894</v>
      </c>
      <c r="C24" s="8"/>
      <c r="D24" s="7" t="s">
        <v>37</v>
      </c>
    </row>
    <row r="25" spans="1:4" ht="18.95" customHeight="1">
      <c r="A25" s="7" t="s">
        <v>38</v>
      </c>
      <c r="B25" s="8">
        <f>B15*B22</f>
        <v>993</v>
      </c>
      <c r="C25" s="8"/>
      <c r="D25" s="7" t="s">
        <v>39</v>
      </c>
    </row>
    <row r="26" spans="1:4" ht="18.95" customHeight="1">
      <c r="A26" s="7" t="s">
        <v>40</v>
      </c>
      <c r="B26" s="13">
        <f>'Inputs and method'!B25*(B25/('Inputs and method'!B24*3))</f>
        <v>8.6330994152046774</v>
      </c>
      <c r="C26" s="8"/>
      <c r="D26" s="7" t="s">
        <v>41</v>
      </c>
    </row>
    <row r="27" spans="1:4" ht="18.95" customHeight="1">
      <c r="A27" s="7" t="s">
        <v>42</v>
      </c>
      <c r="B27" s="8">
        <f>'Inputs and method'!B26*(B15/'Inputs and method'!B24)^2</f>
        <v>9.8354237201190102</v>
      </c>
      <c r="C27" s="8"/>
      <c r="D27" s="7" t="s">
        <v>43</v>
      </c>
    </row>
    <row r="28" spans="1:4" ht="18.95" customHeight="1">
      <c r="A28" s="7" t="s">
        <v>44</v>
      </c>
      <c r="B28" s="8">
        <f>B27*B22^2/2</f>
        <v>44.259406740535546</v>
      </c>
      <c r="C28" s="8"/>
      <c r="D28" s="7" t="s">
        <v>45</v>
      </c>
    </row>
    <row r="29" spans="1:4" ht="18.95" customHeight="1">
      <c r="A29" s="7" t="s">
        <v>46</v>
      </c>
      <c r="B29" s="8">
        <f>B27/B19</f>
        <v>1.2441393259868587</v>
      </c>
      <c r="C29" s="8"/>
      <c r="D29" s="7" t="s">
        <v>47</v>
      </c>
    </row>
    <row r="30" spans="1:4" ht="18.95" customHeight="1">
      <c r="A30" s="7" t="s">
        <v>48</v>
      </c>
      <c r="B30" s="8">
        <f>B29*LN(1+B22*B19/'Inputs and method'!B17)</f>
        <v>0.37223584257916825</v>
      </c>
      <c r="C30" s="8"/>
      <c r="D30" s="7" t="s">
        <v>47</v>
      </c>
    </row>
    <row r="31" spans="1:4" ht="18.95" customHeight="1">
      <c r="A31" s="7"/>
      <c r="B31" s="8"/>
      <c r="C31" s="8"/>
      <c r="D31" s="7"/>
    </row>
    <row r="32" spans="1:4" ht="23.1" customHeight="1">
      <c r="A32" s="4" t="s">
        <v>49</v>
      </c>
      <c r="B32" s="6"/>
      <c r="C32" s="6"/>
      <c r="D32" s="4"/>
    </row>
    <row r="33" spans="1:4" ht="18.95" customHeight="1">
      <c r="A33" s="7" t="s">
        <v>50</v>
      </c>
      <c r="B33" s="8"/>
      <c r="C33" s="8">
        <f>0.8*(SQRT((('Inputs and method'!C7+C6*C16)*('Inputs and method'!C8+C6*C16))/PI())/25.4)^2*C15^2/(6*(SQRT((('Inputs and method'!C7+C6*C16)*('Inputs and method'!C8+C6*C16))/PI())/25.4)+9*('Inputs and method'!C11/25.4)+10*(C6*C16/25.4))/1000</f>
        <v>76.284115947376861</v>
      </c>
      <c r="D33" s="7" t="s">
        <v>43</v>
      </c>
    </row>
    <row r="34" spans="1:4" ht="18.95" customHeight="1">
      <c r="A34" s="7" t="s">
        <v>51</v>
      </c>
      <c r="B34" s="8"/>
      <c r="C34" s="8">
        <f>2*C19</f>
        <v>99.935868618897644</v>
      </c>
      <c r="D34" s="7" t="s">
        <v>30</v>
      </c>
    </row>
    <row r="35" spans="1:4" ht="18.95" customHeight="1">
      <c r="A35" s="7" t="s">
        <v>52</v>
      </c>
      <c r="B35" s="8"/>
      <c r="C35" s="8">
        <f>2*C33</f>
        <v>152.56823189475372</v>
      </c>
      <c r="D35" s="7" t="s">
        <v>43</v>
      </c>
    </row>
    <row r="36" spans="1:4" ht="18.95" customHeight="1">
      <c r="A36" s="7" t="s">
        <v>53</v>
      </c>
      <c r="B36" s="8"/>
      <c r="C36" s="13">
        <f>'Inputs and method'!C23*C15/'Inputs and method'!C27</f>
        <v>2.4010816062176161</v>
      </c>
      <c r="D36" s="7" t="s">
        <v>54</v>
      </c>
    </row>
    <row r="37" spans="1:4" ht="18.95" customHeight="1">
      <c r="A37" s="7" t="s">
        <v>55</v>
      </c>
      <c r="B37" s="8"/>
      <c r="C37" s="8">
        <f>C36*'Inputs and method'!C22</f>
        <v>36.016224093264242</v>
      </c>
      <c r="D37" s="7" t="s">
        <v>56</v>
      </c>
    </row>
    <row r="38" spans="1:4" ht="18.95" customHeight="1">
      <c r="A38" s="7" t="s">
        <v>57</v>
      </c>
      <c r="B38" s="8"/>
      <c r="C38" s="8">
        <f>2*C37</f>
        <v>72.032448186528484</v>
      </c>
      <c r="D38" s="7" t="s">
        <v>56</v>
      </c>
    </row>
    <row r="39" spans="1:4" ht="18.95" customHeight="1">
      <c r="A39" s="7" t="s">
        <v>58</v>
      </c>
      <c r="B39" s="8"/>
      <c r="C39" s="8">
        <f>SQRT(4*1.380649E-23*'Inputs and method'!C19*C19)*1000000000</f>
        <v>0.89941946916769555</v>
      </c>
      <c r="D39" s="7" t="s">
        <v>59</v>
      </c>
    </row>
    <row r="40" spans="1:4" ht="18.95" customHeight="1">
      <c r="A40" s="7" t="s">
        <v>60</v>
      </c>
      <c r="B40" s="8"/>
      <c r="C40" s="8">
        <f>SQRT(4*1.380649E-23*'Inputs and method'!C19*C34)*1000000000</f>
        <v>1.2719712115593649</v>
      </c>
      <c r="D40" s="7" t="s">
        <v>59</v>
      </c>
    </row>
    <row r="41" spans="1:4" ht="18.95" customHeight="1">
      <c r="A41" s="7" t="s">
        <v>61</v>
      </c>
      <c r="B41" s="8"/>
      <c r="C41" s="8">
        <f>C36*SQRT('Inputs and method'!C21/C19)</f>
        <v>0.76332047500935962</v>
      </c>
      <c r="D41" s="7" t="s">
        <v>54</v>
      </c>
    </row>
    <row r="42" spans="1:4" ht="18.95" customHeight="1">
      <c r="A42" s="7" t="s">
        <v>62</v>
      </c>
      <c r="B42" s="8"/>
      <c r="C42" s="13">
        <f>1/(2*PI()*'Inputs and method'!C18)^2/(C35/1000)*1000000000</f>
        <v>51.528469616782317</v>
      </c>
      <c r="D42" s="7" t="s">
        <v>63</v>
      </c>
    </row>
    <row r="43" spans="1:4" ht="18.95" customHeight="1">
      <c r="A43" s="7" t="s">
        <v>64</v>
      </c>
      <c r="B43" s="8"/>
      <c r="C43" s="8">
        <f>2*PI()*'Inputs and method'!C18*(C35/1000)/C34</f>
        <v>17.218172041584392</v>
      </c>
      <c r="D43" s="7" t="s">
        <v>65</v>
      </c>
    </row>
    <row r="44" spans="1:4" ht="18.95" customHeight="1">
      <c r="A44" s="7" t="s">
        <v>66</v>
      </c>
      <c r="B44" s="8"/>
      <c r="C44" s="8">
        <f>2*C35/C34</f>
        <v>3.0533227759608108</v>
      </c>
      <c r="D44" s="7" t="s">
        <v>47</v>
      </c>
    </row>
    <row r="45" spans="1:4" ht="18.95" customHeight="1">
      <c r="A45" s="7" t="s">
        <v>67</v>
      </c>
      <c r="B45" s="8"/>
      <c r="C45" s="8">
        <f>5*C44</f>
        <v>15.266613879804055</v>
      </c>
      <c r="D45" s="7" t="s">
        <v>47</v>
      </c>
    </row>
    <row r="46" spans="1:4" ht="18.95" customHeight="1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/>
  </sheetViews>
  <sheetFormatPr defaultRowHeight="14.25"/>
  <cols>
    <col min="1" max="1" width="39" customWidth="1"/>
    <col min="2" max="3" width="22" customWidth="1"/>
    <col min="4" max="4" width="17" customWidth="1"/>
    <col min="5" max="5" width="66" customWidth="1"/>
  </cols>
  <sheetData>
    <row r="1" spans="1:5" ht="33.950000000000003" customHeight="1">
      <c r="A1" s="17" t="s">
        <v>68</v>
      </c>
      <c r="B1" s="17"/>
      <c r="C1" s="17"/>
      <c r="D1" s="17"/>
      <c r="E1" s="18"/>
    </row>
    <row r="2" spans="1:5" ht="27" customHeight="1">
      <c r="A2" s="19" t="s">
        <v>69</v>
      </c>
      <c r="B2" s="19"/>
      <c r="C2" s="19"/>
      <c r="D2" s="19"/>
      <c r="E2" s="20"/>
    </row>
    <row r="3" spans="1:5" ht="23.1" customHeight="1">
      <c r="A3" s="21" t="s">
        <v>70</v>
      </c>
      <c r="B3" s="21"/>
      <c r="C3" s="21"/>
      <c r="D3" s="21"/>
      <c r="E3" s="22"/>
    </row>
    <row r="4" spans="1:5" ht="18.95" customHeight="1">
      <c r="A4" s="4" t="s">
        <v>1</v>
      </c>
      <c r="B4" s="4" t="s">
        <v>2</v>
      </c>
      <c r="C4" s="4" t="s">
        <v>3</v>
      </c>
      <c r="D4" s="4" t="s">
        <v>4</v>
      </c>
      <c r="E4" s="5" t="s">
        <v>71</v>
      </c>
    </row>
    <row r="5" spans="1:5" ht="18.95" customHeight="1">
      <c r="A5" s="7" t="s">
        <v>72</v>
      </c>
      <c r="B5" s="8">
        <v>505</v>
      </c>
      <c r="C5" s="8">
        <v>1263</v>
      </c>
      <c r="D5" s="7" t="s">
        <v>73</v>
      </c>
      <c r="E5" s="9" t="s">
        <v>74</v>
      </c>
    </row>
    <row r="6" spans="1:5" ht="33.950000000000003" customHeight="1">
      <c r="A6" s="7" t="s">
        <v>75</v>
      </c>
      <c r="B6" s="10">
        <v>0.71399999999999997</v>
      </c>
      <c r="C6" s="10">
        <v>0.46200000000000002</v>
      </c>
      <c r="D6" s="7" t="s">
        <v>10</v>
      </c>
      <c r="E6" s="9" t="s">
        <v>76</v>
      </c>
    </row>
    <row r="7" spans="1:5" ht="18.95" customHeight="1">
      <c r="A7" s="7" t="s">
        <v>77</v>
      </c>
      <c r="B7" s="8">
        <v>146</v>
      </c>
      <c r="C7" s="8">
        <v>60</v>
      </c>
      <c r="D7" s="7" t="s">
        <v>10</v>
      </c>
      <c r="E7" s="9" t="s">
        <v>78</v>
      </c>
    </row>
    <row r="8" spans="1:5" ht="18.95" customHeight="1">
      <c r="A8" s="7" t="s">
        <v>79</v>
      </c>
      <c r="B8" s="8">
        <v>76</v>
      </c>
      <c r="C8" s="8">
        <v>60</v>
      </c>
      <c r="D8" s="7" t="s">
        <v>10</v>
      </c>
      <c r="E8" s="9" t="s">
        <v>78</v>
      </c>
    </row>
    <row r="9" spans="1:5" ht="18.95" customHeight="1">
      <c r="A9" s="7" t="s">
        <v>80</v>
      </c>
      <c r="B9" s="8">
        <v>140</v>
      </c>
      <c r="C9" s="8">
        <v>56</v>
      </c>
      <c r="D9" s="7" t="s">
        <v>10</v>
      </c>
      <c r="E9" s="9" t="s">
        <v>81</v>
      </c>
    </row>
    <row r="10" spans="1:5" ht="18.95" customHeight="1">
      <c r="A10" s="7" t="s">
        <v>82</v>
      </c>
      <c r="B10" s="8">
        <v>70</v>
      </c>
      <c r="C10" s="8">
        <v>56</v>
      </c>
      <c r="D10" s="7" t="s">
        <v>10</v>
      </c>
      <c r="E10" s="9" t="s">
        <v>81</v>
      </c>
    </row>
    <row r="11" spans="1:5" ht="18.95" customHeight="1">
      <c r="A11" s="7" t="s">
        <v>83</v>
      </c>
      <c r="B11" s="8">
        <v>100</v>
      </c>
      <c r="C11" s="8">
        <v>100</v>
      </c>
      <c r="D11" s="7" t="s">
        <v>10</v>
      </c>
      <c r="E11" s="9" t="s">
        <v>84</v>
      </c>
    </row>
    <row r="12" spans="1:5" ht="18.95" customHeight="1">
      <c r="A12" s="7" t="s">
        <v>85</v>
      </c>
      <c r="B12" s="8">
        <v>0.03</v>
      </c>
      <c r="C12" s="8">
        <v>0.03</v>
      </c>
      <c r="D12" s="7" t="s">
        <v>86</v>
      </c>
      <c r="E12" s="9" t="s">
        <v>87</v>
      </c>
    </row>
    <row r="13" spans="1:5" ht="18.95" customHeight="1">
      <c r="A13" s="7" t="s">
        <v>88</v>
      </c>
      <c r="B13" s="8">
        <v>16.14</v>
      </c>
      <c r="C13" s="8">
        <v>40.81</v>
      </c>
      <c r="D13" s="7" t="s">
        <v>89</v>
      </c>
      <c r="E13" s="9" t="s">
        <v>90</v>
      </c>
    </row>
    <row r="14" spans="1:5" ht="18.95" customHeight="1">
      <c r="A14" s="7" t="s">
        <v>91</v>
      </c>
      <c r="B14" s="8">
        <v>2</v>
      </c>
      <c r="C14" s="8">
        <v>6</v>
      </c>
      <c r="D14" s="7" t="s">
        <v>26</v>
      </c>
      <c r="E14" s="9" t="s">
        <v>92</v>
      </c>
    </row>
    <row r="15" spans="1:5" ht="18.95" customHeight="1">
      <c r="A15" s="7" t="s">
        <v>93</v>
      </c>
      <c r="B15" s="8">
        <v>3</v>
      </c>
      <c r="C15" s="8"/>
      <c r="D15" s="7" t="s">
        <v>33</v>
      </c>
      <c r="E15" s="9" t="s">
        <v>94</v>
      </c>
    </row>
    <row r="16" spans="1:5" ht="18.95" customHeight="1">
      <c r="A16" s="7" t="s">
        <v>95</v>
      </c>
      <c r="B16" s="8">
        <v>30</v>
      </c>
      <c r="C16" s="8"/>
      <c r="D16" s="7" t="s">
        <v>35</v>
      </c>
      <c r="E16" s="9" t="s">
        <v>94</v>
      </c>
    </row>
    <row r="17" spans="1:5" ht="33.950000000000003" customHeight="1">
      <c r="A17" s="9" t="s">
        <v>96</v>
      </c>
      <c r="B17" s="12">
        <v>68</v>
      </c>
      <c r="C17" s="12"/>
      <c r="D17" s="9" t="s">
        <v>35</v>
      </c>
      <c r="E17" s="9" t="s">
        <v>97</v>
      </c>
    </row>
    <row r="18" spans="1:5" ht="18.95" customHeight="1">
      <c r="A18" s="7" t="s">
        <v>98</v>
      </c>
      <c r="B18" s="8">
        <v>1795</v>
      </c>
      <c r="C18" s="8">
        <v>1795</v>
      </c>
      <c r="D18" s="7" t="s">
        <v>99</v>
      </c>
      <c r="E18" s="9" t="s">
        <v>100</v>
      </c>
    </row>
    <row r="19" spans="1:5" ht="18.95" customHeight="1">
      <c r="A19" s="7" t="s">
        <v>101</v>
      </c>
      <c r="B19" s="8">
        <v>293.14999999999998</v>
      </c>
      <c r="C19" s="8">
        <v>293.14999999999998</v>
      </c>
      <c r="D19" s="7" t="s">
        <v>102</v>
      </c>
      <c r="E19" s="9" t="s">
        <v>103</v>
      </c>
    </row>
    <row r="20" spans="1:5" ht="18.95" customHeight="1">
      <c r="A20" s="7" t="s">
        <v>104</v>
      </c>
      <c r="B20" s="8"/>
      <c r="C20" s="8">
        <v>590</v>
      </c>
      <c r="D20" s="7" t="s">
        <v>105</v>
      </c>
      <c r="E20" s="9" t="s">
        <v>106</v>
      </c>
    </row>
    <row r="21" spans="1:5" ht="18.95" customHeight="1">
      <c r="A21" s="7" t="s">
        <v>107</v>
      </c>
      <c r="B21" s="8"/>
      <c r="C21" s="8">
        <v>5.05</v>
      </c>
      <c r="D21" s="7" t="s">
        <v>108</v>
      </c>
      <c r="E21" s="9" t="s">
        <v>106</v>
      </c>
    </row>
    <row r="22" spans="1:5" ht="18.95" customHeight="1">
      <c r="A22" s="7" t="s">
        <v>109</v>
      </c>
      <c r="B22" s="8"/>
      <c r="C22" s="8">
        <v>15</v>
      </c>
      <c r="D22" s="7" t="s">
        <v>56</v>
      </c>
      <c r="E22" s="9" t="s">
        <v>110</v>
      </c>
    </row>
    <row r="23" spans="1:5" ht="18.95" customHeight="1">
      <c r="A23" s="7" t="s">
        <v>111</v>
      </c>
      <c r="B23" s="8"/>
      <c r="C23" s="8">
        <v>2.5099999999999998</v>
      </c>
      <c r="D23" s="7" t="s">
        <v>112</v>
      </c>
      <c r="E23" s="9" t="s">
        <v>113</v>
      </c>
    </row>
    <row r="24" spans="1:5" ht="18.95" customHeight="1">
      <c r="A24" s="7" t="s">
        <v>114</v>
      </c>
      <c r="B24" s="8">
        <v>342</v>
      </c>
      <c r="C24" s="8"/>
      <c r="D24" s="7" t="s">
        <v>18</v>
      </c>
      <c r="E24" s="9" t="s">
        <v>115</v>
      </c>
    </row>
    <row r="25" spans="1:5" ht="18.95" customHeight="1">
      <c r="A25" s="7" t="s">
        <v>116</v>
      </c>
      <c r="B25" s="8">
        <v>8.92</v>
      </c>
      <c r="C25" s="8"/>
      <c r="D25" s="7" t="s">
        <v>41</v>
      </c>
      <c r="E25" s="9" t="s">
        <v>117</v>
      </c>
    </row>
    <row r="26" spans="1:5" ht="18.95" customHeight="1">
      <c r="A26" s="7" t="s">
        <v>118</v>
      </c>
      <c r="B26" s="8">
        <v>10.5</v>
      </c>
      <c r="C26" s="8"/>
      <c r="D26" s="7" t="s">
        <v>43</v>
      </c>
      <c r="E26" s="9" t="s">
        <v>119</v>
      </c>
    </row>
    <row r="27" spans="1:5" ht="18.95" customHeight="1">
      <c r="A27" s="7" t="s">
        <v>120</v>
      </c>
      <c r="B27" s="8"/>
      <c r="C27" s="8">
        <v>1544</v>
      </c>
      <c r="D27" s="7" t="s">
        <v>18</v>
      </c>
      <c r="E27" s="9" t="s">
        <v>121</v>
      </c>
    </row>
    <row r="28" spans="1:5" ht="38.1" customHeight="1">
      <c r="A28" s="9" t="s">
        <v>122</v>
      </c>
      <c r="B28" s="12"/>
      <c r="C28" s="12">
        <v>41</v>
      </c>
      <c r="D28" s="9" t="s">
        <v>43</v>
      </c>
      <c r="E28" s="9" t="s">
        <v>123</v>
      </c>
    </row>
    <row r="29" spans="1:5" ht="18.95" customHeight="1">
      <c r="A29" s="7" t="s">
        <v>124</v>
      </c>
      <c r="B29" s="8"/>
      <c r="C29" s="8">
        <v>52</v>
      </c>
      <c r="D29" s="7" t="s">
        <v>30</v>
      </c>
      <c r="E29" s="9" t="s">
        <v>125</v>
      </c>
    </row>
    <row r="30" spans="1:5" ht="18.95" customHeight="1">
      <c r="A30" s="7" t="s">
        <v>126</v>
      </c>
      <c r="B30" s="10">
        <v>0.64500000000000002</v>
      </c>
      <c r="C30" s="10">
        <v>0.40400000000000003</v>
      </c>
      <c r="D30" s="7" t="s">
        <v>10</v>
      </c>
      <c r="E30" s="9" t="s">
        <v>127</v>
      </c>
    </row>
    <row r="31" spans="1:5" ht="23.1" customHeight="1">
      <c r="A31" s="4" t="s">
        <v>128</v>
      </c>
      <c r="B31" s="6"/>
      <c r="C31" s="6"/>
      <c r="D31" s="4"/>
      <c r="E31" s="5"/>
    </row>
    <row r="32" spans="1:5" ht="33.950000000000003" customHeight="1">
      <c r="A32" s="7" t="s">
        <v>129</v>
      </c>
      <c r="B32" s="23" t="s">
        <v>130</v>
      </c>
      <c r="C32" s="23"/>
      <c r="D32" s="24"/>
      <c r="E32" s="15"/>
    </row>
    <row r="33" spans="1:5" ht="33.950000000000003" customHeight="1">
      <c r="A33" s="7" t="s">
        <v>131</v>
      </c>
      <c r="B33" s="23" t="s">
        <v>132</v>
      </c>
      <c r="C33" s="23"/>
      <c r="D33" s="24"/>
      <c r="E33" s="15"/>
    </row>
    <row r="34" spans="1:5" ht="33.950000000000003" customHeight="1">
      <c r="A34" s="7" t="s">
        <v>133</v>
      </c>
      <c r="B34" s="23" t="s">
        <v>134</v>
      </c>
      <c r="C34" s="23"/>
      <c r="D34" s="24"/>
      <c r="E34" s="15"/>
    </row>
    <row r="35" spans="1:5" ht="33.950000000000003" customHeight="1">
      <c r="A35" s="7" t="s">
        <v>135</v>
      </c>
      <c r="B35" s="23" t="s">
        <v>136</v>
      </c>
      <c r="C35" s="23"/>
      <c r="D35" s="24"/>
      <c r="E35" s="15"/>
    </row>
    <row r="36" spans="1:5" ht="48" customHeight="1">
      <c r="A36" s="9" t="s">
        <v>137</v>
      </c>
      <c r="B36" s="16" t="s">
        <v>138</v>
      </c>
      <c r="C36" s="16"/>
      <c r="D36" s="15"/>
      <c r="E36" s="15"/>
    </row>
    <row r="37" spans="1:5" ht="33.950000000000003" customHeight="1">
      <c r="A37" s="7" t="s">
        <v>139</v>
      </c>
      <c r="B37" s="23" t="s">
        <v>140</v>
      </c>
      <c r="C37" s="23"/>
      <c r="D37" s="24"/>
      <c r="E37" s="15"/>
    </row>
    <row r="38" spans="1:5" ht="33.950000000000003" customHeight="1">
      <c r="A38" s="7" t="s">
        <v>141</v>
      </c>
      <c r="B38" s="23" t="s">
        <v>142</v>
      </c>
      <c r="C38" s="23"/>
      <c r="D38" s="24"/>
      <c r="E38" s="15"/>
    </row>
    <row r="39" spans="1:5" ht="33.950000000000003" customHeight="1">
      <c r="A39" s="7" t="s">
        <v>143</v>
      </c>
      <c r="B39" s="23" t="s">
        <v>144</v>
      </c>
      <c r="C39" s="23"/>
      <c r="D39" s="24"/>
      <c r="E39" s="15"/>
    </row>
    <row r="40" spans="1:5" ht="33.950000000000003" customHeight="1">
      <c r="A40" s="7" t="s">
        <v>145</v>
      </c>
      <c r="B40" s="23" t="s">
        <v>146</v>
      </c>
      <c r="C40" s="23"/>
      <c r="D40" s="24"/>
      <c r="E40" s="15"/>
    </row>
    <row r="41" spans="1:5" ht="51.95" customHeight="1">
      <c r="A41" s="9" t="s">
        <v>147</v>
      </c>
      <c r="B41" s="16" t="s">
        <v>148</v>
      </c>
      <c r="C41" s="16"/>
      <c r="D41" s="15"/>
      <c r="E41" s="15"/>
    </row>
    <row r="42" spans="1:5" ht="18.95" customHeight="1">
      <c r="A42" s="25"/>
      <c r="B42" s="26"/>
      <c r="C42" s="26"/>
      <c r="D42" s="25"/>
      <c r="E42" s="1"/>
    </row>
    <row r="43" spans="1:5" ht="18.95" customHeight="1">
      <c r="A43" s="25"/>
      <c r="B43" s="26"/>
      <c r="C43" s="26"/>
      <c r="D43" s="25"/>
      <c r="E43" s="1"/>
    </row>
    <row r="44" spans="1:5" ht="18.95" customHeight="1">
      <c r="A44" s="25"/>
      <c r="B44" s="26"/>
      <c r="C44" s="26"/>
      <c r="D44" s="25"/>
      <c r="E44" s="1"/>
    </row>
    <row r="45" spans="1:5" ht="18.95" customHeight="1">
      <c r="A45" s="25"/>
      <c r="B45" s="26"/>
      <c r="C45" s="26"/>
      <c r="D45" s="25"/>
      <c r="E45" s="1"/>
    </row>
    <row r="46" spans="1:5" ht="18.95" customHeight="1">
      <c r="A46" s="25"/>
      <c r="B46" s="26"/>
      <c r="C46" s="26"/>
      <c r="D46" s="25"/>
      <c r="E46" s="1"/>
    </row>
    <row r="47" spans="1:5" ht="18.95" customHeight="1">
      <c r="A47" s="25"/>
      <c r="B47" s="26"/>
      <c r="C47" s="26"/>
      <c r="D47" s="25"/>
      <c r="E47" s="1"/>
    </row>
    <row r="48" spans="1:5" ht="18.95" customHeight="1">
      <c r="A48" s="25"/>
      <c r="B48" s="26"/>
      <c r="C48" s="26"/>
      <c r="D48" s="25"/>
      <c r="E48" s="1"/>
    </row>
    <row r="49" spans="1:5" ht="18.95" customHeight="1">
      <c r="A49" s="25"/>
      <c r="B49" s="26"/>
      <c r="C49" s="26"/>
      <c r="D49" s="25"/>
      <c r="E49" s="1"/>
    </row>
    <row r="50" spans="1:5" ht="18.95" customHeight="1">
      <c r="A50" s="25"/>
      <c r="B50" s="26"/>
      <c r="C50" s="26"/>
      <c r="D50" s="25"/>
      <c r="E50" s="1"/>
    </row>
    <row r="51" spans="1:5" ht="18.95" customHeight="1">
      <c r="A51" s="25"/>
      <c r="B51" s="25"/>
      <c r="C51" s="25"/>
      <c r="D51" s="25"/>
      <c r="E51" s="1"/>
    </row>
    <row r="52" spans="1:5" ht="18.95" customHeight="1">
      <c r="A52" s="25"/>
      <c r="B52" s="25"/>
      <c r="C52" s="25"/>
      <c r="D52" s="25"/>
      <c r="E52" s="1"/>
    </row>
    <row r="53" spans="1:5" ht="18.95" customHeight="1">
      <c r="A53" s="25"/>
      <c r="B53" s="25"/>
      <c r="C53" s="25"/>
      <c r="D53" s="25"/>
      <c r="E53" s="1"/>
    </row>
    <row r="54" spans="1:5" ht="18.95" customHeight="1">
      <c r="A54" s="27"/>
      <c r="B54" s="27"/>
      <c r="C54" s="27"/>
      <c r="D54" s="27"/>
      <c r="E54" s="2"/>
    </row>
    <row r="55" spans="1:5" ht="18.95" customHeight="1">
      <c r="A55" s="28"/>
      <c r="B55" s="28"/>
      <c r="C55" s="28"/>
      <c r="D55" s="28"/>
      <c r="E55" s="3"/>
    </row>
    <row r="56" spans="1:5" ht="18.95" customHeight="1">
      <c r="A56" s="28"/>
      <c r="B56" s="28"/>
      <c r="C56" s="28"/>
      <c r="D56" s="28"/>
      <c r="E56" s="3"/>
    </row>
    <row r="57" spans="1:5" ht="18.95" customHeight="1">
      <c r="A57" s="28"/>
      <c r="B57" s="28"/>
      <c r="C57" s="28"/>
      <c r="D57" s="28"/>
      <c r="E57" s="3"/>
    </row>
    <row r="58" spans="1:5" ht="18.95" customHeight="1">
      <c r="A58" s="28"/>
      <c r="B58" s="28"/>
      <c r="C58" s="28"/>
      <c r="D58" s="28"/>
      <c r="E58" s="3"/>
    </row>
    <row r="59" spans="1:5" ht="18.95" customHeight="1">
      <c r="A59" s="28"/>
      <c r="B59" s="28"/>
      <c r="C59" s="28"/>
      <c r="D59" s="28"/>
      <c r="E59" s="3"/>
    </row>
    <row r="60" spans="1:5" ht="18.95" customHeight="1">
      <c r="A60" s="28"/>
      <c r="B60" s="28"/>
      <c r="C60" s="28"/>
      <c r="D60" s="28"/>
      <c r="E60" s="3"/>
    </row>
    <row r="61" spans="1:5" ht="18.95" customHeight="1">
      <c r="A61" s="28"/>
      <c r="B61" s="28"/>
      <c r="C61" s="28"/>
      <c r="D61" s="28"/>
      <c r="E61" s="3"/>
    </row>
    <row r="62" spans="1:5" ht="18.95" customHeight="1">
      <c r="A62" s="28"/>
      <c r="B62" s="28"/>
      <c r="C62" s="28"/>
      <c r="D62" s="28"/>
      <c r="E62" s="3"/>
    </row>
    <row r="63" spans="1:5" ht="18.95" customHeight="1">
      <c r="A63" s="28"/>
      <c r="B63" s="28"/>
      <c r="C63" s="28"/>
      <c r="D63" s="28"/>
      <c r="E63" s="3"/>
    </row>
    <row r="64" spans="1:5" ht="18.95" customHeight="1">
      <c r="A64" s="28"/>
      <c r="B64" s="28"/>
      <c r="C64" s="28"/>
      <c r="D64" s="28"/>
      <c r="E64" s="3"/>
    </row>
    <row r="65" spans="1:5" ht="18.95" customHeight="1">
      <c r="A65" s="28"/>
      <c r="B65" s="28"/>
      <c r="C65" s="28"/>
      <c r="D65" s="28"/>
      <c r="E65" s="3"/>
    </row>
  </sheetData>
  <mergeCells count="12">
    <mergeCell ref="A1:E1"/>
    <mergeCell ref="A2:E2"/>
    <mergeCell ref="B32:E32"/>
    <mergeCell ref="B33:E33"/>
    <mergeCell ref="B34:E34"/>
    <mergeCell ref="B40:E40"/>
    <mergeCell ref="B41:E41"/>
    <mergeCell ref="B35:E35"/>
    <mergeCell ref="B36:E36"/>
    <mergeCell ref="B37:E37"/>
    <mergeCell ref="B38:E38"/>
    <mergeCell ref="B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Hunter Jerome Vania</cp:lastModifiedBy>
  <cp:revision/>
  <dcterms:created xsi:type="dcterms:W3CDTF">2026-09-23T20:16:19Z</dcterms:created>
  <dcterms:modified xsi:type="dcterms:W3CDTF">2026-09-23T20:16:19Z</dcterms:modified>
  <cp:category/>
  <cp:contentStatus/>
</cp:coreProperties>
</file>